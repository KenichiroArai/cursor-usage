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everyday-use-wk\cursor-usage\docs\"/>
    </mc:Choice>
  </mc:AlternateContent>
  <xr:revisionPtr revIDLastSave="0" documentId="13_ncr:1_{23F0D929-6AB7-4D20-ADD4-98F1121FC97F}" xr6:coauthVersionLast="47" xr6:coauthVersionMax="47" xr10:uidLastSave="{00000000-0000-0000-0000-000000000000}"/>
  <bookViews>
    <workbookView xWindow="19660" yWindow="220" windowWidth="18770" windowHeight="18740" xr2:uid="{00000000-000D-0000-FFFF-FFFF00000000}"/>
  </bookViews>
  <sheets>
    <sheet name="Cursor Usageの記録" sheetId="1" r:id="rId1"/>
    <sheet name="Summary" sheetId="3" r:id="rId2"/>
    <sheet name="Included Usage 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6" i="1" l="1"/>
  <c r="B306" i="1"/>
  <c r="C306" i="1"/>
  <c r="D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D289" i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A288" i="1"/>
  <c r="A287" i="1"/>
  <c r="A286" i="1"/>
  <c r="A285" i="1"/>
  <c r="A284" i="1"/>
  <c r="A283" i="1"/>
  <c r="A282" i="1"/>
  <c r="A281" i="1"/>
  <c r="C279" i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A280" i="1"/>
  <c r="D278" i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C248" i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A254" i="1"/>
  <c r="A253" i="1"/>
  <c r="A252" i="1"/>
  <c r="A251" i="1"/>
  <c r="A250" i="1"/>
  <c r="A249" i="1"/>
  <c r="A248" i="1"/>
  <c r="D248" i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A247" i="1"/>
  <c r="H231" i="3"/>
  <c r="G231" i="3"/>
  <c r="F231" i="3"/>
  <c r="E231" i="3"/>
  <c r="D231" i="3"/>
  <c r="C231" i="3"/>
  <c r="A246" i="1"/>
  <c r="H228" i="3"/>
  <c r="G228" i="3"/>
  <c r="F228" i="3"/>
  <c r="E228" i="3"/>
  <c r="D228" i="3"/>
  <c r="C228" i="3"/>
  <c r="A245" i="1"/>
  <c r="H222" i="3"/>
  <c r="H225" i="3"/>
  <c r="G225" i="3"/>
  <c r="F225" i="3"/>
  <c r="E225" i="3"/>
  <c r="D225" i="3"/>
  <c r="C225" i="3"/>
  <c r="A244" i="1"/>
  <c r="G222" i="3"/>
  <c r="F222" i="3"/>
  <c r="E222" i="3"/>
  <c r="D222" i="3"/>
  <c r="C222" i="3"/>
  <c r="A243" i="1"/>
  <c r="G219" i="3"/>
  <c r="F219" i="3"/>
  <c r="E219" i="3"/>
  <c r="D219" i="3"/>
  <c r="C219" i="3"/>
  <c r="A242" i="1"/>
  <c r="G216" i="3"/>
  <c r="F216" i="3"/>
  <c r="E216" i="3"/>
  <c r="D216" i="3"/>
  <c r="C216" i="3"/>
  <c r="A241" i="1"/>
  <c r="G213" i="3"/>
  <c r="F213" i="3"/>
  <c r="E213" i="3"/>
  <c r="D213" i="3"/>
  <c r="C213" i="3"/>
  <c r="H211" i="3"/>
  <c r="A240" i="1"/>
  <c r="G210" i="3"/>
  <c r="F210" i="3"/>
  <c r="E210" i="3"/>
  <c r="D210" i="3"/>
  <c r="C210" i="3"/>
  <c r="H208" i="3"/>
  <c r="A239" i="1"/>
  <c r="G207" i="3"/>
  <c r="F207" i="3"/>
  <c r="E207" i="3"/>
  <c r="D207" i="3"/>
  <c r="C207" i="3"/>
  <c r="H205" i="3"/>
  <c r="A238" i="1"/>
  <c r="G204" i="3"/>
  <c r="F204" i="3"/>
  <c r="E204" i="3"/>
  <c r="D204" i="3"/>
  <c r="C204" i="3"/>
  <c r="H202" i="3"/>
  <c r="A237" i="1"/>
  <c r="G201" i="3"/>
  <c r="F201" i="3"/>
  <c r="E201" i="3"/>
  <c r="D201" i="3"/>
  <c r="C201" i="3"/>
  <c r="H199" i="3"/>
  <c r="A236" i="1"/>
  <c r="H196" i="3"/>
  <c r="G198" i="3"/>
  <c r="F198" i="3"/>
  <c r="E198" i="3"/>
  <c r="D198" i="3"/>
  <c r="C198" i="3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C218" i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D218" i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D187" i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65" i="3"/>
  <c r="A67" i="3" s="1"/>
  <c r="A69" i="3" s="1"/>
  <c r="A71" i="3" s="1"/>
  <c r="A73" i="3" s="1"/>
  <c r="A75" i="3" s="1"/>
  <c r="A77" i="3" s="1"/>
  <c r="A79" i="3" s="1"/>
  <c r="A81" i="3" s="1"/>
  <c r="A83" i="3" s="1"/>
  <c r="A85" i="3" s="1"/>
  <c r="A87" i="3" s="1"/>
  <c r="A89" i="3" s="1"/>
  <c r="A91" i="3" s="1"/>
  <c r="A93" i="3" s="1"/>
  <c r="A95" i="3" s="1"/>
  <c r="A97" i="3" s="1"/>
  <c r="A99" i="3" s="1"/>
  <c r="A101" i="3" s="1"/>
  <c r="A102" i="3" s="1"/>
  <c r="A64" i="3"/>
  <c r="A169" i="1"/>
  <c r="A168" i="1"/>
  <c r="A167" i="1"/>
  <c r="A166" i="1"/>
  <c r="A165" i="1"/>
  <c r="A164" i="1"/>
  <c r="A163" i="1"/>
  <c r="A162" i="1"/>
  <c r="A161" i="1"/>
  <c r="A160" i="1"/>
  <c r="A159" i="1"/>
  <c r="A158" i="1"/>
  <c r="C157" i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D157" i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D126" i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C126" i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D95" i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C95" i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B65" i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A74" i="1"/>
  <c r="A73" i="1"/>
  <c r="A72" i="1"/>
  <c r="A71" i="1"/>
  <c r="A70" i="1"/>
  <c r="A69" i="1"/>
  <c r="D65" i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C65" i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A68" i="1"/>
  <c r="A67" i="1"/>
  <c r="A66" i="1"/>
  <c r="A65" i="1"/>
  <c r="A64" i="1"/>
  <c r="A63" i="1"/>
  <c r="A6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03" i="3" l="1"/>
  <c r="A105" i="3" s="1"/>
  <c r="A107" i="3" s="1"/>
  <c r="A100" i="3"/>
  <c r="A98" i="3"/>
  <c r="A96" i="3"/>
  <c r="A94" i="3"/>
  <c r="A92" i="3"/>
  <c r="A90" i="3"/>
  <c r="A88" i="3"/>
  <c r="A86" i="3"/>
  <c r="A84" i="3"/>
  <c r="A82" i="3"/>
  <c r="A80" i="3"/>
  <c r="A78" i="3"/>
  <c r="A76" i="3"/>
  <c r="A74" i="3"/>
  <c r="A72" i="3"/>
  <c r="A70" i="3"/>
  <c r="A68" i="3"/>
  <c r="A66" i="3"/>
  <c r="A104" i="3" l="1"/>
  <c r="A106" i="3"/>
  <c r="A109" i="3"/>
  <c r="A108" i="3"/>
  <c r="A111" i="3" l="1"/>
  <c r="A110" i="3"/>
  <c r="A113" i="3" l="1"/>
  <c r="A112" i="3"/>
  <c r="A115" i="3" l="1"/>
  <c r="A114" i="3"/>
  <c r="A117" i="3" l="1"/>
  <c r="A116" i="3"/>
  <c r="A119" i="3" l="1"/>
  <c r="A118" i="3"/>
  <c r="A120" i="3" l="1"/>
  <c r="A121" i="3"/>
  <c r="A123" i="3" l="1"/>
  <c r="A122" i="3"/>
  <c r="A125" i="3" l="1"/>
  <c r="A124" i="3"/>
  <c r="A127" i="3" l="1"/>
  <c r="A126" i="3"/>
  <c r="A129" i="3" l="1"/>
  <c r="A128" i="3"/>
  <c r="A131" i="3" l="1"/>
  <c r="A130" i="3"/>
  <c r="A133" i="3" l="1"/>
  <c r="A132" i="3"/>
  <c r="A135" i="3" l="1"/>
  <c r="A134" i="3"/>
  <c r="A137" i="3" l="1"/>
  <c r="A136" i="3"/>
  <c r="A139" i="3" l="1"/>
  <c r="A138" i="3"/>
  <c r="A141" i="3" l="1"/>
  <c r="A140" i="3"/>
  <c r="A143" i="3" l="1"/>
  <c r="A142" i="3"/>
  <c r="A145" i="3" l="1"/>
  <c r="A144" i="3"/>
  <c r="A147" i="3" l="1"/>
  <c r="A146" i="3"/>
  <c r="A149" i="3" l="1"/>
  <c r="A148" i="3"/>
  <c r="A151" i="3" l="1"/>
  <c r="A150" i="3"/>
  <c r="A153" i="3" l="1"/>
  <c r="A152" i="3"/>
  <c r="A155" i="3" l="1"/>
  <c r="A154" i="3"/>
  <c r="A157" i="3" l="1"/>
  <c r="A156" i="3"/>
  <c r="A159" i="3" l="1"/>
  <c r="A158" i="3"/>
  <c r="A161" i="3" l="1"/>
  <c r="A160" i="3"/>
  <c r="A163" i="3" l="1"/>
  <c r="A162" i="3"/>
  <c r="A165" i="3" l="1"/>
  <c r="A164" i="3"/>
  <c r="A167" i="3" l="1"/>
  <c r="A166" i="3"/>
  <c r="A169" i="3" l="1"/>
  <c r="A168" i="3"/>
  <c r="A171" i="3" l="1"/>
  <c r="A170" i="3"/>
  <c r="A173" i="3" l="1"/>
  <c r="A172" i="3"/>
  <c r="A175" i="3" l="1"/>
  <c r="A174" i="3"/>
  <c r="A177" i="3" l="1"/>
  <c r="A176" i="3"/>
  <c r="A179" i="3" l="1"/>
  <c r="A178" i="3"/>
  <c r="A181" i="3" l="1"/>
  <c r="A180" i="3"/>
  <c r="A183" i="3" l="1"/>
  <c r="A182" i="3"/>
  <c r="A185" i="3" l="1"/>
  <c r="A184" i="3"/>
  <c r="A187" i="3" l="1"/>
  <c r="A186" i="3"/>
  <c r="A189" i="3" l="1"/>
  <c r="A188" i="3"/>
  <c r="A191" i="3" l="1"/>
  <c r="A190" i="3"/>
  <c r="A193" i="3" l="1"/>
  <c r="A192" i="3"/>
  <c r="A195" i="3" l="1"/>
  <c r="A194" i="3"/>
  <c r="A197" i="3" s="1"/>
  <c r="A200" i="3" s="1"/>
  <c r="A203" i="3" s="1"/>
  <c r="A206" i="3" s="1"/>
  <c r="A209" i="3" s="1"/>
  <c r="A212" i="3" s="1"/>
  <c r="A215" i="3" s="1"/>
  <c r="A218" i="3" s="1"/>
  <c r="A221" i="3" s="1"/>
  <c r="A224" i="3" s="1"/>
  <c r="A227" i="3" s="1"/>
  <c r="A230" i="3" s="1"/>
  <c r="A198" i="3" l="1"/>
  <c r="A196" i="3"/>
  <c r="A199" i="3" l="1"/>
  <c r="A201" i="3"/>
  <c r="A202" i="3" l="1"/>
  <c r="A204" i="3"/>
  <c r="A205" i="3" l="1"/>
  <c r="A207" i="3"/>
  <c r="A208" i="3" l="1"/>
  <c r="A210" i="3"/>
  <c r="A211" i="3" l="1"/>
  <c r="A213" i="3"/>
  <c r="A214" i="3" l="1"/>
  <c r="A216" i="3"/>
  <c r="A217" i="3" l="1"/>
  <c r="A219" i="3"/>
  <c r="A222" i="3" l="1"/>
  <c r="A220" i="3"/>
  <c r="A225" i="3" l="1"/>
  <c r="A223" i="3"/>
  <c r="A226" i="3" l="1"/>
  <c r="A228" i="3"/>
  <c r="A229" i="3" l="1"/>
  <c r="A231" i="3"/>
  <c r="A232" i="3" l="1"/>
  <c r="A233" i="3" l="1"/>
  <c r="A235" i="3" l="1"/>
  <c r="A234" i="3"/>
  <c r="A237" i="3" l="1"/>
  <c r="A236" i="3"/>
  <c r="A239" i="3" l="1"/>
  <c r="A238" i="3"/>
  <c r="A241" i="3" l="1"/>
  <c r="A240" i="3"/>
  <c r="A243" i="3" l="1"/>
  <c r="A242" i="3"/>
  <c r="A244" i="3" l="1"/>
  <c r="A245" i="3"/>
  <c r="A247" i="3" l="1"/>
  <c r="A246" i="3"/>
  <c r="A249" i="3" l="1"/>
  <c r="A248" i="3"/>
  <c r="A251" i="3" l="1"/>
  <c r="A250" i="3"/>
  <c r="A253" i="3" l="1"/>
  <c r="A252" i="3"/>
  <c r="A255" i="3" l="1"/>
  <c r="A254" i="3"/>
  <c r="A257" i="3" l="1"/>
  <c r="A256" i="3"/>
  <c r="A259" i="3" l="1"/>
  <c r="A258" i="3"/>
  <c r="A261" i="3" l="1"/>
  <c r="A260" i="3"/>
  <c r="A263" i="3" l="1"/>
  <c r="A262" i="3"/>
  <c r="A265" i="3" l="1"/>
  <c r="A264" i="3"/>
  <c r="A267" i="3" l="1"/>
  <c r="A266" i="3"/>
  <c r="A269" i="3" l="1"/>
  <c r="A268" i="3"/>
  <c r="A271" i="3" l="1"/>
  <c r="A270" i="3"/>
  <c r="A273" i="3" l="1"/>
  <c r="A272" i="3"/>
  <c r="A275" i="3" l="1"/>
  <c r="A274" i="3"/>
  <c r="A277" i="3" l="1"/>
  <c r="A276" i="3"/>
  <c r="A279" i="3" l="1"/>
  <c r="A278" i="3"/>
  <c r="A281" i="3" l="1"/>
  <c r="A280" i="3"/>
  <c r="A283" i="3" l="1"/>
  <c r="A282" i="3"/>
  <c r="A285" i="3" l="1"/>
  <c r="A284" i="3"/>
  <c r="A287" i="3" l="1"/>
  <c r="A286" i="3"/>
  <c r="A289" i="3" l="1"/>
  <c r="A288" i="3"/>
  <c r="A291" i="3" l="1"/>
  <c r="A290" i="3"/>
  <c r="A293" i="3" l="1"/>
  <c r="A292" i="3"/>
  <c r="A295" i="3" l="1"/>
  <c r="A294" i="3"/>
  <c r="A297" i="3" l="1"/>
  <c r="A296" i="3"/>
  <c r="A299" i="3" l="1"/>
  <c r="A298" i="3"/>
  <c r="A301" i="3" l="1"/>
  <c r="A300" i="3"/>
  <c r="A302" i="3" l="1"/>
  <c r="A303" i="3"/>
  <c r="A305" i="3" l="1"/>
  <c r="A304" i="3"/>
  <c r="A307" i="3" l="1"/>
  <c r="A306" i="3"/>
  <c r="A309" i="3" l="1"/>
  <c r="A308" i="3"/>
  <c r="A311" i="3" l="1"/>
  <c r="A310" i="3"/>
  <c r="A313" i="3" l="1"/>
  <c r="A312" i="3"/>
  <c r="A315" i="3" l="1"/>
  <c r="A314" i="3"/>
  <c r="A317" i="3" l="1"/>
  <c r="A316" i="3"/>
  <c r="A319" i="3" l="1"/>
  <c r="A318" i="3"/>
  <c r="A321" i="3" l="1"/>
  <c r="A320" i="3"/>
  <c r="A323" i="3" l="1"/>
  <c r="A322" i="3"/>
  <c r="A325" i="3" l="1"/>
  <c r="A324" i="3"/>
  <c r="A327" i="3" l="1"/>
  <c r="A326" i="3"/>
  <c r="A329" i="3" l="1"/>
  <c r="A328" i="3"/>
  <c r="A331" i="3" l="1"/>
  <c r="A330" i="3"/>
  <c r="A333" i="3" l="1"/>
  <c r="A332" i="3"/>
  <c r="A335" i="3" l="1"/>
  <c r="A334" i="3"/>
  <c r="A337" i="3" l="1"/>
  <c r="A336" i="3"/>
  <c r="A339" i="3" l="1"/>
  <c r="A338" i="3"/>
  <c r="A341" i="3" l="1"/>
  <c r="A340" i="3"/>
  <c r="A343" i="3" l="1"/>
  <c r="A342" i="3"/>
  <c r="A345" i="3" l="1"/>
  <c r="A344" i="3"/>
  <c r="A347" i="3" l="1"/>
  <c r="A346" i="3"/>
</calcChain>
</file>

<file path=xl/sharedStrings.xml><?xml version="1.0" encoding="utf-8"?>
<sst xmlns="http://schemas.openxmlformats.org/spreadsheetml/2006/main" count="436" uniqueCount="27">
  <si>
    <t>番号</t>
  </si>
  <si>
    <t>記録日</t>
  </si>
  <si>
    <t>日数</t>
    <rPh sb="0" eb="2">
      <t>ニッスウ</t>
    </rPh>
    <phoneticPr fontId="3"/>
  </si>
  <si>
    <t>Premium models</t>
    <phoneticPr fontId="3"/>
  </si>
  <si>
    <t>gpt-4o-mini or cursor-small</t>
    <phoneticPr fontId="3"/>
  </si>
  <si>
    <t>Fast requests will refresh in X day</t>
    <phoneticPr fontId="3"/>
  </si>
  <si>
    <t>Accepted Lines: X Lines</t>
    <phoneticPr fontId="3"/>
  </si>
  <si>
    <t>Suggested Lines: X lines</t>
    <phoneticPr fontId="3"/>
  </si>
  <si>
    <t>Subscription Included: X requets</t>
    <phoneticPr fontId="3"/>
  </si>
  <si>
    <t>API Key Requests: X requets</t>
    <phoneticPr fontId="3"/>
  </si>
  <si>
    <t>Usage Based Requets: X requets</t>
    <phoneticPr fontId="3"/>
  </si>
  <si>
    <t>Tabs Accepted: X tabs</t>
    <phoneticPr fontId="3"/>
  </si>
  <si>
    <t>Model</t>
  </si>
  <si>
    <t>auto</t>
  </si>
  <si>
    <t>Output</t>
  </si>
  <si>
    <t>Cache Read</t>
  </si>
  <si>
    <t>Total Tokens</t>
  </si>
  <si>
    <t>API Cost</t>
  </si>
  <si>
    <t>Cost to You</t>
  </si>
  <si>
    <t>Total</t>
  </si>
  <si>
    <t>日付</t>
    <rPh sb="0" eb="2">
      <t>ヒヅケ</t>
    </rPh>
    <phoneticPr fontId="3"/>
  </si>
  <si>
    <t>Cache Write</t>
    <phoneticPr fontId="3"/>
  </si>
  <si>
    <t>Input</t>
    <phoneticPr fontId="3"/>
  </si>
  <si>
    <t>Input
(W/ CACHE WRITE)</t>
    <phoneticPr fontId="3"/>
  </si>
  <si>
    <t>Total</t>
    <phoneticPr fontId="3"/>
  </si>
  <si>
    <t>Input
(W/O CACHE WRITE)</t>
    <phoneticPr fontId="3"/>
  </si>
  <si>
    <t>agent_reiew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</si>
</sst>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26" formatCode="\$#,##0.00_);[Red]\(\$#,##0.00\)"/>
  </numFmts>
  <fonts count="6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3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8" fontId="1" fillId="2" borderId="1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8" fontId="2" fillId="0" borderId="1" xfId="1" applyFont="1" applyBorder="1" applyAlignment="1">
      <alignment horizontal="left" vertical="center"/>
    </xf>
    <xf numFmtId="38" fontId="2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38" fontId="2" fillId="0" borderId="3" xfId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38" fontId="2" fillId="0" borderId="5" xfId="1" applyFont="1" applyBorder="1" applyAlignment="1">
      <alignment horizontal="left" vertical="center"/>
    </xf>
    <xf numFmtId="38" fontId="2" fillId="0" borderId="2" xfId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38" fontId="0" fillId="0" borderId="0" xfId="1" applyFont="1" applyAlignment="1">
      <alignment vertical="center"/>
    </xf>
    <xf numFmtId="0" fontId="0" fillId="0" borderId="3" xfId="0" applyBorder="1"/>
    <xf numFmtId="14" fontId="0" fillId="0" borderId="3" xfId="0" applyNumberFormat="1" applyBorder="1"/>
    <xf numFmtId="3" fontId="0" fillId="0" borderId="3" xfId="0" applyNumberFormat="1" applyBorder="1"/>
    <xf numFmtId="26" fontId="0" fillId="0" borderId="3" xfId="0" applyNumberFormat="1" applyBorder="1"/>
    <xf numFmtId="24" fontId="0" fillId="0" borderId="3" xfId="0" applyNumberFormat="1" applyBorder="1"/>
    <xf numFmtId="0" fontId="5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 wrapText="1"/>
    </xf>
    <xf numFmtId="38" fontId="2" fillId="0" borderId="4" xfId="1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06"/>
  <sheetViews>
    <sheetView showGridLines="0" tabSelected="1" workbookViewId="0">
      <pane ySplit="1" topLeftCell="A291" activePane="bottomLeft" state="frozen"/>
      <selection pane="bottomLeft" activeCell="A307" sqref="A307"/>
    </sheetView>
  </sheetViews>
  <sheetFormatPr defaultColWidth="8.7265625" defaultRowHeight="13"/>
  <cols>
    <col min="1" max="1" width="5.453125" style="19" bestFit="1" customWidth="1"/>
    <col min="2" max="2" width="11" style="20" bestFit="1" customWidth="1"/>
    <col min="3" max="3" width="5.453125" style="21" bestFit="1" customWidth="1"/>
    <col min="4" max="4" width="36.7265625" style="5" bestFit="1" customWidth="1"/>
    <col min="5" max="5" width="26.90625" style="22" bestFit="1" customWidth="1"/>
    <col min="6" max="6" width="26.08984375" style="22" bestFit="1" customWidth="1"/>
    <col min="7" max="7" width="24.08984375" style="5" bestFit="1" customWidth="1"/>
    <col min="8" max="8" width="18.453125" style="5" hidden="1" customWidth="1"/>
    <col min="9" max="9" width="35.36328125" style="5" hidden="1" customWidth="1"/>
    <col min="10" max="10" width="31" style="5" hidden="1" customWidth="1"/>
    <col min="11" max="11" width="35.453125" style="5" hidden="1" customWidth="1"/>
    <col min="12" max="12" width="29.453125" style="5" hidden="1" customWidth="1"/>
    <col min="13" max="16384" width="8.7265625" style="5"/>
  </cols>
  <sheetData>
    <row r="1" spans="1:12" ht="18">
      <c r="A1" s="1" t="s">
        <v>0</v>
      </c>
      <c r="B1" s="2" t="s">
        <v>1</v>
      </c>
      <c r="C1" s="1" t="s">
        <v>2</v>
      </c>
      <c r="D1" s="3" t="s">
        <v>5</v>
      </c>
      <c r="E1" s="4" t="s">
        <v>7</v>
      </c>
      <c r="F1" s="4" t="s">
        <v>6</v>
      </c>
      <c r="G1" s="3" t="s">
        <v>11</v>
      </c>
      <c r="H1" s="3" t="s">
        <v>3</v>
      </c>
      <c r="I1" s="3" t="s">
        <v>8</v>
      </c>
      <c r="J1" s="3" t="s">
        <v>9</v>
      </c>
      <c r="K1" s="3" t="s">
        <v>10</v>
      </c>
      <c r="L1" s="3" t="s">
        <v>4</v>
      </c>
    </row>
    <row r="2" spans="1:12" ht="14.5">
      <c r="A2" s="6">
        <f t="shared" ref="A2:A256" si="0">ROW()-1</f>
        <v>1</v>
      </c>
      <c r="B2" s="7">
        <v>45765</v>
      </c>
      <c r="C2" s="6">
        <v>1</v>
      </c>
      <c r="D2" s="8">
        <v>29</v>
      </c>
      <c r="E2" s="9"/>
      <c r="F2" s="9"/>
      <c r="G2" s="8"/>
      <c r="H2" s="8">
        <v>17</v>
      </c>
      <c r="I2" s="8"/>
      <c r="J2" s="8"/>
      <c r="K2" s="8"/>
      <c r="L2" s="8">
        <v>7</v>
      </c>
    </row>
    <row r="3" spans="1:12" ht="14.5">
      <c r="A3" s="6">
        <f t="shared" si="0"/>
        <v>2</v>
      </c>
      <c r="B3" s="7">
        <v>45766</v>
      </c>
      <c r="C3" s="6">
        <f>C2+1</f>
        <v>2</v>
      </c>
      <c r="D3" s="8">
        <v>28</v>
      </c>
      <c r="E3" s="9"/>
      <c r="F3" s="9"/>
      <c r="G3" s="8"/>
      <c r="H3" s="8">
        <v>44</v>
      </c>
      <c r="I3" s="8"/>
      <c r="J3" s="8"/>
      <c r="K3" s="8"/>
      <c r="L3" s="8">
        <v>7</v>
      </c>
    </row>
    <row r="4" spans="1:12" ht="14.5">
      <c r="A4" s="6">
        <f t="shared" si="0"/>
        <v>3</v>
      </c>
      <c r="B4" s="7">
        <v>45767</v>
      </c>
      <c r="C4" s="6">
        <f t="shared" ref="C4:C31" si="1">C3+1</f>
        <v>3</v>
      </c>
      <c r="D4" s="8">
        <v>27</v>
      </c>
      <c r="E4" s="9"/>
      <c r="F4" s="9"/>
      <c r="G4" s="8"/>
      <c r="H4" s="8">
        <v>54</v>
      </c>
      <c r="I4" s="8"/>
      <c r="J4" s="8"/>
      <c r="K4" s="8"/>
      <c r="L4" s="8">
        <v>8</v>
      </c>
    </row>
    <row r="5" spans="1:12" ht="14.5">
      <c r="A5" s="6">
        <f t="shared" si="0"/>
        <v>4</v>
      </c>
      <c r="B5" s="7">
        <v>45768</v>
      </c>
      <c r="C5" s="6">
        <f t="shared" si="1"/>
        <v>4</v>
      </c>
      <c r="D5" s="8">
        <v>26</v>
      </c>
      <c r="E5" s="9"/>
      <c r="F5" s="9"/>
      <c r="G5" s="8"/>
      <c r="H5" s="8">
        <v>64</v>
      </c>
      <c r="I5" s="8"/>
      <c r="J5" s="8"/>
      <c r="K5" s="8"/>
      <c r="L5" s="8">
        <v>10</v>
      </c>
    </row>
    <row r="6" spans="1:12" ht="14.5">
      <c r="A6" s="6">
        <f t="shared" si="0"/>
        <v>5</v>
      </c>
      <c r="B6" s="7">
        <v>45769</v>
      </c>
      <c r="C6" s="6">
        <f t="shared" si="1"/>
        <v>5</v>
      </c>
      <c r="D6" s="8">
        <v>25</v>
      </c>
      <c r="E6" s="9"/>
      <c r="F6" s="9"/>
      <c r="G6" s="8"/>
      <c r="H6" s="8">
        <v>64</v>
      </c>
      <c r="I6" s="8"/>
      <c r="J6" s="8"/>
      <c r="K6" s="8"/>
      <c r="L6" s="8">
        <v>10</v>
      </c>
    </row>
    <row r="7" spans="1:12" ht="14.5">
      <c r="A7" s="6">
        <f t="shared" si="0"/>
        <v>6</v>
      </c>
      <c r="B7" s="7">
        <v>45770</v>
      </c>
      <c r="C7" s="6">
        <f t="shared" si="1"/>
        <v>6</v>
      </c>
      <c r="D7" s="8">
        <v>24</v>
      </c>
      <c r="E7" s="9"/>
      <c r="F7" s="9"/>
      <c r="G7" s="8"/>
      <c r="H7" s="8">
        <v>85</v>
      </c>
      <c r="I7" s="8"/>
      <c r="J7" s="8"/>
      <c r="K7" s="8"/>
      <c r="L7" s="8">
        <v>13</v>
      </c>
    </row>
    <row r="8" spans="1:12" ht="14.5">
      <c r="A8" s="6">
        <f t="shared" si="0"/>
        <v>7</v>
      </c>
      <c r="B8" s="7">
        <v>45771</v>
      </c>
      <c r="C8" s="6">
        <f t="shared" si="1"/>
        <v>7</v>
      </c>
      <c r="D8" s="8">
        <v>23</v>
      </c>
      <c r="E8" s="9"/>
      <c r="F8" s="9"/>
      <c r="G8" s="8"/>
      <c r="H8" s="8">
        <v>99</v>
      </c>
      <c r="I8" s="8"/>
      <c r="J8" s="8"/>
      <c r="K8" s="8"/>
      <c r="L8" s="8">
        <v>13</v>
      </c>
    </row>
    <row r="9" spans="1:12" ht="14.5">
      <c r="A9" s="6">
        <f t="shared" si="0"/>
        <v>8</v>
      </c>
      <c r="B9" s="7">
        <v>45772</v>
      </c>
      <c r="C9" s="6">
        <f t="shared" si="1"/>
        <v>8</v>
      </c>
      <c r="D9" s="8">
        <v>22</v>
      </c>
      <c r="E9" s="9"/>
      <c r="F9" s="9"/>
      <c r="G9" s="8"/>
      <c r="H9" s="8">
        <v>102</v>
      </c>
      <c r="I9" s="8"/>
      <c r="J9" s="8"/>
      <c r="K9" s="8"/>
      <c r="L9" s="8">
        <v>13</v>
      </c>
    </row>
    <row r="10" spans="1:12" ht="14.5">
      <c r="A10" s="6">
        <f t="shared" si="0"/>
        <v>9</v>
      </c>
      <c r="B10" s="7">
        <v>45773</v>
      </c>
      <c r="C10" s="6">
        <f t="shared" si="1"/>
        <v>9</v>
      </c>
      <c r="D10" s="8">
        <v>21</v>
      </c>
      <c r="E10" s="9"/>
      <c r="F10" s="9"/>
      <c r="G10" s="8"/>
      <c r="H10" s="8">
        <v>112</v>
      </c>
      <c r="I10" s="8"/>
      <c r="J10" s="8"/>
      <c r="K10" s="8"/>
      <c r="L10" s="8">
        <v>13</v>
      </c>
    </row>
    <row r="11" spans="1:12" ht="14.5">
      <c r="A11" s="6">
        <f t="shared" si="0"/>
        <v>10</v>
      </c>
      <c r="B11" s="7">
        <v>45774</v>
      </c>
      <c r="C11" s="6">
        <f t="shared" si="1"/>
        <v>10</v>
      </c>
      <c r="D11" s="8">
        <v>20</v>
      </c>
      <c r="E11" s="9"/>
      <c r="F11" s="9"/>
      <c r="G11" s="8"/>
      <c r="H11" s="8">
        <v>112</v>
      </c>
      <c r="I11" s="8"/>
      <c r="J11" s="8"/>
      <c r="K11" s="8"/>
      <c r="L11" s="8">
        <v>33</v>
      </c>
    </row>
    <row r="12" spans="1:12" ht="14.5">
      <c r="A12" s="6">
        <f t="shared" si="0"/>
        <v>11</v>
      </c>
      <c r="B12" s="7">
        <v>45775</v>
      </c>
      <c r="C12" s="6">
        <f t="shared" si="1"/>
        <v>11</v>
      </c>
      <c r="D12" s="8">
        <v>19</v>
      </c>
      <c r="E12" s="9"/>
      <c r="F12" s="9"/>
      <c r="G12" s="8"/>
      <c r="H12" s="8">
        <v>112</v>
      </c>
      <c r="I12" s="8"/>
      <c r="J12" s="8"/>
      <c r="K12" s="8"/>
      <c r="L12" s="8">
        <v>35</v>
      </c>
    </row>
    <row r="13" spans="1:12" ht="14.5">
      <c r="A13" s="6">
        <f t="shared" si="0"/>
        <v>12</v>
      </c>
      <c r="B13" s="7">
        <v>45776</v>
      </c>
      <c r="C13" s="6">
        <f t="shared" si="1"/>
        <v>12</v>
      </c>
      <c r="D13" s="8">
        <v>18</v>
      </c>
      <c r="E13" s="9"/>
      <c r="F13" s="9"/>
      <c r="G13" s="8"/>
      <c r="H13" s="8">
        <v>112</v>
      </c>
      <c r="I13" s="8"/>
      <c r="J13" s="8"/>
      <c r="K13" s="8"/>
      <c r="L13" s="8">
        <v>38</v>
      </c>
    </row>
    <row r="14" spans="1:12" ht="14.5">
      <c r="A14" s="6">
        <f t="shared" si="0"/>
        <v>13</v>
      </c>
      <c r="B14" s="7">
        <v>45777</v>
      </c>
      <c r="C14" s="6">
        <f t="shared" si="1"/>
        <v>13</v>
      </c>
      <c r="D14" s="8">
        <v>17</v>
      </c>
      <c r="E14" s="9"/>
      <c r="F14" s="9"/>
      <c r="G14" s="8"/>
      <c r="H14" s="8">
        <v>112</v>
      </c>
      <c r="I14" s="8"/>
      <c r="J14" s="8"/>
      <c r="K14" s="8"/>
      <c r="L14" s="8">
        <v>38</v>
      </c>
    </row>
    <row r="15" spans="1:12" ht="14.5">
      <c r="A15" s="6">
        <f t="shared" si="0"/>
        <v>14</v>
      </c>
      <c r="B15" s="7">
        <v>45778</v>
      </c>
      <c r="C15" s="6">
        <f t="shared" si="1"/>
        <v>14</v>
      </c>
      <c r="D15" s="8">
        <v>16</v>
      </c>
      <c r="E15" s="9"/>
      <c r="F15" s="9"/>
      <c r="G15" s="8"/>
      <c r="H15" s="8">
        <v>117</v>
      </c>
      <c r="I15" s="8"/>
      <c r="J15" s="8"/>
      <c r="K15" s="8"/>
      <c r="L15" s="8">
        <v>38</v>
      </c>
    </row>
    <row r="16" spans="1:12" ht="14.5">
      <c r="A16" s="6">
        <f t="shared" si="0"/>
        <v>15</v>
      </c>
      <c r="B16" s="7">
        <v>45779</v>
      </c>
      <c r="C16" s="6">
        <f t="shared" si="1"/>
        <v>15</v>
      </c>
      <c r="D16" s="8">
        <v>15</v>
      </c>
      <c r="E16" s="9"/>
      <c r="F16" s="9"/>
      <c r="G16" s="8"/>
      <c r="H16" s="8">
        <v>117</v>
      </c>
      <c r="I16" s="8"/>
      <c r="J16" s="8"/>
      <c r="K16" s="8"/>
      <c r="L16" s="8">
        <v>44</v>
      </c>
    </row>
    <row r="17" spans="1:12" ht="14.5">
      <c r="A17" s="6">
        <f t="shared" si="0"/>
        <v>16</v>
      </c>
      <c r="B17" s="7">
        <v>45780</v>
      </c>
      <c r="C17" s="6">
        <f t="shared" si="1"/>
        <v>16</v>
      </c>
      <c r="D17" s="8">
        <v>14</v>
      </c>
      <c r="E17" s="9"/>
      <c r="F17" s="9"/>
      <c r="G17" s="8"/>
      <c r="H17" s="8">
        <v>120</v>
      </c>
      <c r="I17" s="8"/>
      <c r="J17" s="8"/>
      <c r="K17" s="8"/>
      <c r="L17" s="8">
        <v>53</v>
      </c>
    </row>
    <row r="18" spans="1:12" ht="14.5">
      <c r="A18" s="6">
        <f t="shared" si="0"/>
        <v>17</v>
      </c>
      <c r="B18" s="7">
        <v>45781</v>
      </c>
      <c r="C18" s="6">
        <f t="shared" si="1"/>
        <v>17</v>
      </c>
      <c r="D18" s="8">
        <v>13</v>
      </c>
      <c r="E18" s="9"/>
      <c r="F18" s="9"/>
      <c r="G18" s="8"/>
      <c r="H18" s="8">
        <v>120</v>
      </c>
      <c r="I18" s="8"/>
      <c r="J18" s="8"/>
      <c r="K18" s="8"/>
      <c r="L18" s="8">
        <v>53</v>
      </c>
    </row>
    <row r="19" spans="1:12" ht="14.5">
      <c r="A19" s="6">
        <f t="shared" si="0"/>
        <v>18</v>
      </c>
      <c r="B19" s="7">
        <v>45782</v>
      </c>
      <c r="C19" s="6">
        <f t="shared" si="1"/>
        <v>18</v>
      </c>
      <c r="D19" s="8">
        <v>12</v>
      </c>
      <c r="E19" s="9"/>
      <c r="F19" s="9"/>
      <c r="G19" s="8"/>
      <c r="H19" s="8">
        <v>120</v>
      </c>
      <c r="I19" s="8"/>
      <c r="J19" s="8"/>
      <c r="K19" s="8"/>
      <c r="L19" s="8">
        <v>53</v>
      </c>
    </row>
    <row r="20" spans="1:12" ht="14.5">
      <c r="A20" s="6">
        <f t="shared" si="0"/>
        <v>19</v>
      </c>
      <c r="B20" s="7">
        <v>45783</v>
      </c>
      <c r="C20" s="6">
        <f t="shared" si="1"/>
        <v>19</v>
      </c>
      <c r="D20" s="8">
        <v>11</v>
      </c>
      <c r="E20" s="9"/>
      <c r="F20" s="9"/>
      <c r="G20" s="8"/>
      <c r="H20" s="8">
        <v>121</v>
      </c>
      <c r="I20" s="8"/>
      <c r="J20" s="8"/>
      <c r="K20" s="8"/>
      <c r="L20" s="8">
        <v>54</v>
      </c>
    </row>
    <row r="21" spans="1:12" ht="14.5">
      <c r="A21" s="6">
        <f t="shared" si="0"/>
        <v>20</v>
      </c>
      <c r="B21" s="7">
        <v>45784</v>
      </c>
      <c r="C21" s="6">
        <f t="shared" si="1"/>
        <v>20</v>
      </c>
      <c r="D21" s="8">
        <v>10</v>
      </c>
      <c r="E21" s="9"/>
      <c r="F21" s="9"/>
      <c r="G21" s="8"/>
      <c r="H21" s="8">
        <v>129</v>
      </c>
      <c r="I21" s="8"/>
      <c r="J21" s="8"/>
      <c r="K21" s="8"/>
      <c r="L21" s="8">
        <v>59</v>
      </c>
    </row>
    <row r="22" spans="1:12" ht="14.5">
      <c r="A22" s="6">
        <f t="shared" si="0"/>
        <v>21</v>
      </c>
      <c r="B22" s="7">
        <v>45785</v>
      </c>
      <c r="C22" s="6">
        <f t="shared" si="1"/>
        <v>21</v>
      </c>
      <c r="D22" s="8">
        <v>9</v>
      </c>
      <c r="E22" s="9"/>
      <c r="F22" s="9"/>
      <c r="G22" s="8"/>
      <c r="H22" s="8">
        <v>133</v>
      </c>
      <c r="I22" s="8"/>
      <c r="J22" s="8"/>
      <c r="K22" s="8"/>
      <c r="L22" s="8">
        <v>63</v>
      </c>
    </row>
    <row r="23" spans="1:12" ht="14.5">
      <c r="A23" s="6">
        <f t="shared" si="0"/>
        <v>22</v>
      </c>
      <c r="B23" s="7">
        <v>45786</v>
      </c>
      <c r="C23" s="6">
        <f t="shared" si="1"/>
        <v>22</v>
      </c>
      <c r="D23" s="8">
        <v>8</v>
      </c>
      <c r="E23" s="9"/>
      <c r="F23" s="9"/>
      <c r="G23" s="8"/>
      <c r="H23" s="8">
        <v>151</v>
      </c>
      <c r="I23" s="8"/>
      <c r="J23" s="8"/>
      <c r="K23" s="8"/>
      <c r="L23" s="8">
        <v>65</v>
      </c>
    </row>
    <row r="24" spans="1:12" ht="14.5">
      <c r="A24" s="6">
        <f t="shared" si="0"/>
        <v>23</v>
      </c>
      <c r="B24" s="7">
        <v>45787</v>
      </c>
      <c r="C24" s="6">
        <f t="shared" si="1"/>
        <v>23</v>
      </c>
      <c r="D24" s="8">
        <v>7</v>
      </c>
      <c r="E24" s="9"/>
      <c r="F24" s="9"/>
      <c r="G24" s="8"/>
      <c r="H24" s="8">
        <v>192</v>
      </c>
      <c r="I24" s="8"/>
      <c r="J24" s="8"/>
      <c r="K24" s="8"/>
      <c r="L24" s="8">
        <v>81</v>
      </c>
    </row>
    <row r="25" spans="1:12" ht="14.5">
      <c r="A25" s="6">
        <f t="shared" si="0"/>
        <v>24</v>
      </c>
      <c r="B25" s="7">
        <v>45788</v>
      </c>
      <c r="C25" s="6">
        <f t="shared" si="1"/>
        <v>24</v>
      </c>
      <c r="D25" s="8">
        <v>6</v>
      </c>
      <c r="E25" s="9"/>
      <c r="F25" s="9"/>
      <c r="G25" s="8"/>
      <c r="H25" s="8">
        <v>212</v>
      </c>
      <c r="I25" s="8"/>
      <c r="J25" s="8"/>
      <c r="K25" s="8"/>
      <c r="L25" s="8">
        <v>83</v>
      </c>
    </row>
    <row r="26" spans="1:12" ht="14.5">
      <c r="A26" s="6">
        <f t="shared" si="0"/>
        <v>25</v>
      </c>
      <c r="B26" s="7">
        <v>45789</v>
      </c>
      <c r="C26" s="6">
        <f t="shared" si="1"/>
        <v>25</v>
      </c>
      <c r="D26" s="8">
        <v>5</v>
      </c>
      <c r="E26" s="9"/>
      <c r="F26" s="9"/>
      <c r="G26" s="8"/>
      <c r="H26" s="8">
        <v>212</v>
      </c>
      <c r="I26" s="8"/>
      <c r="J26" s="8"/>
      <c r="K26" s="8"/>
      <c r="L26" s="8">
        <v>83</v>
      </c>
    </row>
    <row r="27" spans="1:12" ht="14.5">
      <c r="A27" s="6">
        <f t="shared" si="0"/>
        <v>26</v>
      </c>
      <c r="B27" s="7">
        <v>45790</v>
      </c>
      <c r="C27" s="6">
        <f t="shared" si="1"/>
        <v>26</v>
      </c>
      <c r="D27" s="8">
        <v>4</v>
      </c>
      <c r="E27" s="10"/>
      <c r="F27" s="10"/>
      <c r="G27" s="11"/>
      <c r="H27" s="8">
        <v>227</v>
      </c>
      <c r="I27" s="8"/>
      <c r="J27" s="8"/>
      <c r="K27" s="8"/>
      <c r="L27" s="8">
        <v>83</v>
      </c>
    </row>
    <row r="28" spans="1:12" ht="14.5">
      <c r="A28" s="6">
        <f t="shared" si="0"/>
        <v>27</v>
      </c>
      <c r="B28" s="7">
        <v>45791</v>
      </c>
      <c r="C28" s="6">
        <f t="shared" si="1"/>
        <v>27</v>
      </c>
      <c r="D28" s="12">
        <v>3</v>
      </c>
      <c r="E28" s="13"/>
      <c r="F28" s="13"/>
      <c r="G28" s="14"/>
      <c r="H28" s="8">
        <v>230</v>
      </c>
      <c r="I28" s="15"/>
      <c r="J28" s="8"/>
      <c r="K28" s="8"/>
      <c r="L28" s="8">
        <v>85</v>
      </c>
    </row>
    <row r="29" spans="1:12" ht="14.5">
      <c r="A29" s="6">
        <f t="shared" si="0"/>
        <v>28</v>
      </c>
      <c r="B29" s="7">
        <v>45792</v>
      </c>
      <c r="C29" s="6">
        <f t="shared" si="1"/>
        <v>28</v>
      </c>
      <c r="D29" s="12">
        <v>2</v>
      </c>
      <c r="E29" s="13"/>
      <c r="F29" s="13"/>
      <c r="G29" s="14"/>
      <c r="H29" s="8">
        <v>230</v>
      </c>
      <c r="I29" s="15"/>
      <c r="J29" s="8"/>
      <c r="K29" s="8"/>
      <c r="L29" s="8">
        <v>87</v>
      </c>
    </row>
    <row r="30" spans="1:12" ht="14.5">
      <c r="A30" s="6">
        <f t="shared" si="0"/>
        <v>29</v>
      </c>
      <c r="B30" s="7">
        <v>45793</v>
      </c>
      <c r="C30" s="6">
        <f t="shared" si="1"/>
        <v>29</v>
      </c>
      <c r="D30" s="12">
        <v>1</v>
      </c>
      <c r="E30" s="13"/>
      <c r="F30" s="13"/>
      <c r="G30" s="14"/>
      <c r="H30" s="8">
        <v>235</v>
      </c>
      <c r="I30" s="15"/>
      <c r="J30" s="8"/>
      <c r="K30" s="8"/>
      <c r="L30" s="8">
        <v>87</v>
      </c>
    </row>
    <row r="31" spans="1:12" ht="14.5">
      <c r="A31" s="6">
        <f t="shared" si="0"/>
        <v>30</v>
      </c>
      <c r="B31" s="7">
        <v>45794</v>
      </c>
      <c r="C31" s="6">
        <f t="shared" si="1"/>
        <v>30</v>
      </c>
      <c r="D31" s="12">
        <v>0</v>
      </c>
      <c r="E31" s="13"/>
      <c r="F31" s="13"/>
      <c r="G31" s="14"/>
      <c r="H31" s="8">
        <v>246</v>
      </c>
      <c r="I31" s="15"/>
      <c r="J31" s="8"/>
      <c r="K31" s="8"/>
      <c r="L31" s="8">
        <v>87</v>
      </c>
    </row>
    <row r="32" spans="1:12" ht="14.5">
      <c r="A32" s="6">
        <f t="shared" si="0"/>
        <v>31</v>
      </c>
      <c r="B32" s="7">
        <v>45794</v>
      </c>
      <c r="C32" s="6">
        <v>1</v>
      </c>
      <c r="D32" s="12">
        <v>30</v>
      </c>
      <c r="E32" s="13">
        <v>1370</v>
      </c>
      <c r="F32" s="13">
        <v>1203</v>
      </c>
      <c r="G32" s="14">
        <v>14</v>
      </c>
      <c r="H32" s="8">
        <v>21</v>
      </c>
      <c r="I32" s="16">
        <v>32</v>
      </c>
      <c r="J32" s="9">
        <v>0</v>
      </c>
      <c r="K32" s="8">
        <v>0</v>
      </c>
      <c r="L32" s="8">
        <v>0</v>
      </c>
    </row>
    <row r="33" spans="1:12" ht="14.5">
      <c r="A33" s="6">
        <f t="shared" si="0"/>
        <v>32</v>
      </c>
      <c r="B33" s="7">
        <v>45795</v>
      </c>
      <c r="C33" s="6">
        <f>C32+1</f>
        <v>2</v>
      </c>
      <c r="D33" s="12">
        <v>29</v>
      </c>
      <c r="E33" s="13">
        <v>373</v>
      </c>
      <c r="F33" s="13">
        <v>336</v>
      </c>
      <c r="G33" s="14">
        <v>11</v>
      </c>
      <c r="H33" s="8">
        <v>42</v>
      </c>
      <c r="I33" s="16">
        <v>25</v>
      </c>
      <c r="J33" s="9">
        <v>0</v>
      </c>
      <c r="K33" s="8">
        <v>0</v>
      </c>
      <c r="L33" s="8">
        <v>4</v>
      </c>
    </row>
    <row r="34" spans="1:12" ht="14.5">
      <c r="A34" s="6">
        <f t="shared" si="0"/>
        <v>33</v>
      </c>
      <c r="B34" s="7">
        <v>45796</v>
      </c>
      <c r="C34" s="6">
        <f t="shared" ref="C34:C93" si="2">C33+1</f>
        <v>3</v>
      </c>
      <c r="D34" s="12">
        <v>28</v>
      </c>
      <c r="E34" s="17">
        <v>0</v>
      </c>
      <c r="F34" s="17">
        <v>0</v>
      </c>
      <c r="G34" s="18">
        <v>4</v>
      </c>
      <c r="H34" s="8">
        <v>42</v>
      </c>
      <c r="I34" s="16">
        <v>0</v>
      </c>
      <c r="J34" s="9">
        <v>0</v>
      </c>
      <c r="K34" s="8">
        <v>0</v>
      </c>
      <c r="L34" s="8">
        <v>4</v>
      </c>
    </row>
    <row r="35" spans="1:12" ht="14.5">
      <c r="A35" s="6">
        <f t="shared" si="0"/>
        <v>34</v>
      </c>
      <c r="B35" s="7">
        <v>45797</v>
      </c>
      <c r="C35" s="6">
        <f t="shared" si="2"/>
        <v>4</v>
      </c>
      <c r="D35" s="12">
        <v>27</v>
      </c>
      <c r="E35" s="13">
        <v>119</v>
      </c>
      <c r="F35" s="13">
        <v>80</v>
      </c>
      <c r="G35" s="14">
        <v>5</v>
      </c>
      <c r="H35" s="8">
        <v>50</v>
      </c>
      <c r="I35" s="16">
        <v>11</v>
      </c>
      <c r="J35" s="9">
        <v>0</v>
      </c>
      <c r="K35" s="8">
        <v>0</v>
      </c>
      <c r="L35" s="8">
        <v>7</v>
      </c>
    </row>
    <row r="36" spans="1:12" ht="14.5">
      <c r="A36" s="6">
        <f t="shared" si="0"/>
        <v>35</v>
      </c>
      <c r="B36" s="7">
        <v>45798</v>
      </c>
      <c r="C36" s="6">
        <f t="shared" si="2"/>
        <v>5</v>
      </c>
      <c r="D36" s="12">
        <v>26</v>
      </c>
      <c r="E36" s="13">
        <v>848</v>
      </c>
      <c r="F36" s="13">
        <v>527</v>
      </c>
      <c r="G36" s="14">
        <v>4</v>
      </c>
      <c r="H36" s="8">
        <v>71</v>
      </c>
      <c r="I36" s="16">
        <v>24</v>
      </c>
      <c r="J36" s="9">
        <v>0</v>
      </c>
      <c r="K36" s="8">
        <v>0</v>
      </c>
      <c r="L36" s="8">
        <v>11</v>
      </c>
    </row>
    <row r="37" spans="1:12" ht="14.5">
      <c r="A37" s="6">
        <f t="shared" si="0"/>
        <v>36</v>
      </c>
      <c r="B37" s="7">
        <v>45799</v>
      </c>
      <c r="C37" s="6">
        <f t="shared" si="2"/>
        <v>6</v>
      </c>
      <c r="D37" s="12">
        <v>25</v>
      </c>
      <c r="E37" s="17">
        <v>218</v>
      </c>
      <c r="F37" s="17">
        <v>42</v>
      </c>
      <c r="G37" s="18">
        <v>14</v>
      </c>
      <c r="H37" s="8">
        <v>72</v>
      </c>
      <c r="I37" s="16">
        <v>2</v>
      </c>
      <c r="J37" s="9">
        <v>0</v>
      </c>
      <c r="K37" s="8">
        <v>0</v>
      </c>
      <c r="L37" s="8">
        <v>13</v>
      </c>
    </row>
    <row r="38" spans="1:12" ht="14.5">
      <c r="A38" s="6">
        <f t="shared" si="0"/>
        <v>37</v>
      </c>
      <c r="B38" s="7">
        <v>45800</v>
      </c>
      <c r="C38" s="6">
        <f t="shared" si="2"/>
        <v>7</v>
      </c>
      <c r="D38" s="12">
        <v>24</v>
      </c>
      <c r="E38" s="17">
        <v>33</v>
      </c>
      <c r="F38" s="17">
        <v>29</v>
      </c>
      <c r="G38" s="18">
        <v>3</v>
      </c>
      <c r="H38" s="8">
        <v>81</v>
      </c>
      <c r="I38" s="16">
        <v>9</v>
      </c>
      <c r="J38" s="9">
        <v>0</v>
      </c>
      <c r="K38" s="8">
        <v>0</v>
      </c>
      <c r="L38" s="8">
        <v>13</v>
      </c>
    </row>
    <row r="39" spans="1:12" ht="14.5">
      <c r="A39" s="6">
        <f t="shared" si="0"/>
        <v>38</v>
      </c>
      <c r="B39" s="7">
        <v>45801</v>
      </c>
      <c r="C39" s="6">
        <f t="shared" si="2"/>
        <v>8</v>
      </c>
      <c r="D39" s="12">
        <v>23</v>
      </c>
      <c r="E39" s="17">
        <v>0</v>
      </c>
      <c r="F39" s="17">
        <v>0</v>
      </c>
      <c r="G39" s="18">
        <v>0</v>
      </c>
      <c r="H39" s="8">
        <v>81</v>
      </c>
      <c r="I39" s="16">
        <v>0</v>
      </c>
      <c r="J39" s="9">
        <v>0</v>
      </c>
      <c r="K39" s="8">
        <v>0</v>
      </c>
      <c r="L39" s="8">
        <v>13</v>
      </c>
    </row>
    <row r="40" spans="1:12" ht="14.5">
      <c r="A40" s="6">
        <f t="shared" si="0"/>
        <v>39</v>
      </c>
      <c r="B40" s="7">
        <v>45802</v>
      </c>
      <c r="C40" s="6">
        <f t="shared" si="2"/>
        <v>9</v>
      </c>
      <c r="D40" s="12">
        <v>22</v>
      </c>
      <c r="E40" s="17">
        <v>3579</v>
      </c>
      <c r="F40" s="17">
        <v>1641</v>
      </c>
      <c r="G40" s="18">
        <v>6</v>
      </c>
      <c r="H40" s="8">
        <v>93</v>
      </c>
      <c r="I40" s="16">
        <v>19</v>
      </c>
      <c r="J40" s="9">
        <v>0</v>
      </c>
      <c r="K40" s="8">
        <v>0</v>
      </c>
      <c r="L40" s="8">
        <v>14</v>
      </c>
    </row>
    <row r="41" spans="1:12" ht="14.5">
      <c r="A41" s="6">
        <f t="shared" si="0"/>
        <v>40</v>
      </c>
      <c r="B41" s="7">
        <v>45803</v>
      </c>
      <c r="C41" s="6">
        <f t="shared" si="2"/>
        <v>10</v>
      </c>
      <c r="D41" s="12">
        <v>21</v>
      </c>
      <c r="E41" s="17">
        <v>2144</v>
      </c>
      <c r="F41" s="17">
        <v>1676</v>
      </c>
      <c r="G41" s="18">
        <v>10</v>
      </c>
      <c r="H41" s="8">
        <v>121</v>
      </c>
      <c r="I41" s="16">
        <v>29</v>
      </c>
      <c r="J41" s="9">
        <v>3</v>
      </c>
      <c r="K41" s="8">
        <v>0</v>
      </c>
      <c r="L41" s="8">
        <v>15</v>
      </c>
    </row>
    <row r="42" spans="1:12" ht="14.5">
      <c r="A42" s="6">
        <f t="shared" si="0"/>
        <v>41</v>
      </c>
      <c r="B42" s="7">
        <v>45804</v>
      </c>
      <c r="C42" s="6">
        <f t="shared" si="2"/>
        <v>11</v>
      </c>
      <c r="D42" s="12">
        <v>20</v>
      </c>
      <c r="E42" s="17">
        <v>1717</v>
      </c>
      <c r="F42" s="17">
        <v>983</v>
      </c>
      <c r="G42" s="18">
        <v>2</v>
      </c>
      <c r="H42" s="8">
        <v>142</v>
      </c>
      <c r="I42" s="16">
        <v>20</v>
      </c>
      <c r="J42" s="9">
        <v>0</v>
      </c>
      <c r="K42" s="8">
        <v>0</v>
      </c>
      <c r="L42" s="8"/>
    </row>
    <row r="43" spans="1:12" ht="14.5">
      <c r="A43" s="6">
        <f t="shared" si="0"/>
        <v>42</v>
      </c>
      <c r="B43" s="7">
        <v>45805</v>
      </c>
      <c r="C43" s="6">
        <f t="shared" si="2"/>
        <v>12</v>
      </c>
      <c r="D43" s="12">
        <v>19</v>
      </c>
      <c r="E43" s="17">
        <v>542</v>
      </c>
      <c r="F43" s="17">
        <v>178</v>
      </c>
      <c r="G43" s="18">
        <v>4</v>
      </c>
      <c r="H43" s="8">
        <v>153</v>
      </c>
      <c r="I43" s="16">
        <v>11</v>
      </c>
      <c r="J43" s="9">
        <v>0</v>
      </c>
      <c r="K43" s="8">
        <v>0</v>
      </c>
      <c r="L43" s="8"/>
    </row>
    <row r="44" spans="1:12" ht="14.5">
      <c r="A44" s="6">
        <f t="shared" si="0"/>
        <v>43</v>
      </c>
      <c r="B44" s="7">
        <v>45806</v>
      </c>
      <c r="C44" s="6">
        <f t="shared" si="2"/>
        <v>13</v>
      </c>
      <c r="D44" s="12">
        <v>18</v>
      </c>
      <c r="E44" s="17">
        <v>0</v>
      </c>
      <c r="F44" s="17">
        <v>0</v>
      </c>
      <c r="G44" s="18">
        <v>4</v>
      </c>
      <c r="H44" s="8">
        <v>153</v>
      </c>
      <c r="I44" s="16">
        <v>0</v>
      </c>
      <c r="J44" s="9">
        <v>0</v>
      </c>
      <c r="K44" s="8">
        <v>0</v>
      </c>
      <c r="L44" s="8"/>
    </row>
    <row r="45" spans="1:12" ht="14.5">
      <c r="A45" s="6">
        <f t="shared" si="0"/>
        <v>44</v>
      </c>
      <c r="B45" s="7">
        <v>45807</v>
      </c>
      <c r="C45" s="6">
        <f t="shared" si="2"/>
        <v>14</v>
      </c>
      <c r="D45" s="12">
        <v>17</v>
      </c>
      <c r="E45" s="17">
        <v>0</v>
      </c>
      <c r="F45" s="17">
        <v>0</v>
      </c>
      <c r="G45" s="18">
        <v>15</v>
      </c>
      <c r="H45" s="8">
        <v>153</v>
      </c>
      <c r="I45" s="16">
        <v>1</v>
      </c>
      <c r="J45" s="9">
        <v>0</v>
      </c>
      <c r="K45" s="8">
        <v>0</v>
      </c>
      <c r="L45" s="8"/>
    </row>
    <row r="46" spans="1:12" ht="14.5">
      <c r="A46" s="6">
        <f t="shared" si="0"/>
        <v>45</v>
      </c>
      <c r="B46" s="7">
        <v>45808</v>
      </c>
      <c r="C46" s="6">
        <f t="shared" si="2"/>
        <v>15</v>
      </c>
      <c r="D46" s="12">
        <v>16</v>
      </c>
      <c r="E46" s="17">
        <v>0</v>
      </c>
      <c r="F46" s="17">
        <v>0</v>
      </c>
      <c r="G46" s="18">
        <v>0</v>
      </c>
      <c r="H46" s="8">
        <v>153</v>
      </c>
      <c r="I46" s="16">
        <v>0</v>
      </c>
      <c r="J46" s="9">
        <v>0</v>
      </c>
      <c r="K46" s="8">
        <v>0</v>
      </c>
      <c r="L46" s="8"/>
    </row>
    <row r="47" spans="1:12" ht="14.5">
      <c r="A47" s="6">
        <f t="shared" si="0"/>
        <v>46</v>
      </c>
      <c r="B47" s="7">
        <v>45809</v>
      </c>
      <c r="C47" s="6">
        <f t="shared" si="2"/>
        <v>16</v>
      </c>
      <c r="D47" s="12">
        <v>15</v>
      </c>
      <c r="E47" s="17">
        <v>0</v>
      </c>
      <c r="F47" s="17">
        <v>0</v>
      </c>
      <c r="G47" s="18">
        <v>1</v>
      </c>
      <c r="H47" s="8">
        <v>153</v>
      </c>
      <c r="I47" s="16">
        <v>0</v>
      </c>
      <c r="J47" s="8">
        <v>0</v>
      </c>
      <c r="K47" s="8">
        <v>0</v>
      </c>
      <c r="L47" s="8"/>
    </row>
    <row r="48" spans="1:12" ht="14.5">
      <c r="A48" s="6">
        <f t="shared" si="0"/>
        <v>47</v>
      </c>
      <c r="B48" s="7">
        <v>45810</v>
      </c>
      <c r="C48" s="6">
        <f t="shared" si="2"/>
        <v>17</v>
      </c>
      <c r="D48" s="12">
        <v>14</v>
      </c>
      <c r="E48" s="17">
        <v>2348</v>
      </c>
      <c r="F48" s="17">
        <v>1772</v>
      </c>
      <c r="G48" s="18">
        <v>8</v>
      </c>
      <c r="H48" s="8">
        <v>171</v>
      </c>
      <c r="I48" s="16">
        <v>21</v>
      </c>
      <c r="J48" s="8">
        <v>0</v>
      </c>
      <c r="K48" s="8">
        <v>0</v>
      </c>
      <c r="L48" s="8"/>
    </row>
    <row r="49" spans="1:12" ht="14.5">
      <c r="A49" s="6">
        <f t="shared" si="0"/>
        <v>48</v>
      </c>
      <c r="B49" s="7">
        <v>45811</v>
      </c>
      <c r="C49" s="6">
        <f t="shared" si="2"/>
        <v>18</v>
      </c>
      <c r="D49" s="12">
        <v>13</v>
      </c>
      <c r="E49" s="17">
        <v>4591</v>
      </c>
      <c r="F49" s="17">
        <v>474</v>
      </c>
      <c r="G49" s="18">
        <v>2</v>
      </c>
      <c r="H49" s="8">
        <v>181</v>
      </c>
      <c r="I49" s="8">
        <v>13</v>
      </c>
      <c r="J49" s="8">
        <v>0</v>
      </c>
      <c r="K49" s="8">
        <v>0</v>
      </c>
      <c r="L49" s="8"/>
    </row>
    <row r="50" spans="1:12" ht="14.5">
      <c r="A50" s="6">
        <f t="shared" si="0"/>
        <v>49</v>
      </c>
      <c r="B50" s="7">
        <v>45812</v>
      </c>
      <c r="C50" s="6">
        <f t="shared" si="2"/>
        <v>19</v>
      </c>
      <c r="D50" s="12">
        <v>12</v>
      </c>
      <c r="E50" s="17">
        <v>0</v>
      </c>
      <c r="F50" s="17">
        <v>0</v>
      </c>
      <c r="G50" s="18">
        <v>0</v>
      </c>
      <c r="H50" s="8">
        <v>181</v>
      </c>
      <c r="I50" s="8">
        <v>0</v>
      </c>
      <c r="J50" s="8">
        <v>0</v>
      </c>
      <c r="K50" s="8">
        <v>0</v>
      </c>
      <c r="L50" s="8"/>
    </row>
    <row r="51" spans="1:12" ht="14.5">
      <c r="A51" s="6">
        <f t="shared" si="0"/>
        <v>50</v>
      </c>
      <c r="B51" s="7">
        <v>45813</v>
      </c>
      <c r="C51" s="6">
        <f t="shared" si="2"/>
        <v>20</v>
      </c>
      <c r="D51" s="12">
        <v>11</v>
      </c>
      <c r="E51" s="17">
        <v>506</v>
      </c>
      <c r="F51" s="17">
        <v>319</v>
      </c>
      <c r="G51" s="18">
        <v>0</v>
      </c>
      <c r="H51" s="8">
        <v>188</v>
      </c>
      <c r="I51" s="8">
        <v>8</v>
      </c>
      <c r="J51" s="8">
        <v>0</v>
      </c>
      <c r="K51" s="8">
        <v>0</v>
      </c>
      <c r="L51" s="8"/>
    </row>
    <row r="52" spans="1:12" ht="14.5">
      <c r="A52" s="6">
        <f t="shared" si="0"/>
        <v>51</v>
      </c>
      <c r="B52" s="7">
        <v>45814</v>
      </c>
      <c r="C52" s="6">
        <f t="shared" si="2"/>
        <v>21</v>
      </c>
      <c r="D52" s="12">
        <v>10</v>
      </c>
      <c r="E52" s="17">
        <v>0</v>
      </c>
      <c r="F52" s="17">
        <v>0</v>
      </c>
      <c r="G52" s="18">
        <v>0</v>
      </c>
      <c r="H52" s="8">
        <v>188</v>
      </c>
      <c r="I52" s="8">
        <v>0</v>
      </c>
      <c r="J52" s="8">
        <v>0</v>
      </c>
      <c r="K52" s="8">
        <v>0</v>
      </c>
      <c r="L52" s="8"/>
    </row>
    <row r="53" spans="1:12" ht="14.5">
      <c r="A53" s="6">
        <f t="shared" si="0"/>
        <v>52</v>
      </c>
      <c r="B53" s="7">
        <v>45815</v>
      </c>
      <c r="C53" s="6">
        <f t="shared" si="2"/>
        <v>22</v>
      </c>
      <c r="D53" s="12">
        <v>9</v>
      </c>
      <c r="E53" s="17">
        <v>380</v>
      </c>
      <c r="F53" s="17">
        <v>115</v>
      </c>
      <c r="G53" s="18">
        <v>6</v>
      </c>
      <c r="H53" s="8">
        <v>205</v>
      </c>
      <c r="I53" s="8">
        <v>20</v>
      </c>
      <c r="J53" s="8">
        <v>0</v>
      </c>
      <c r="K53" s="8">
        <v>0</v>
      </c>
      <c r="L53" s="8"/>
    </row>
    <row r="54" spans="1:12" ht="14.5">
      <c r="A54" s="6">
        <f t="shared" si="0"/>
        <v>53</v>
      </c>
      <c r="B54" s="7">
        <v>45816</v>
      </c>
      <c r="C54" s="6">
        <f t="shared" si="2"/>
        <v>23</v>
      </c>
      <c r="D54" s="12">
        <v>8</v>
      </c>
      <c r="E54" s="17">
        <v>228</v>
      </c>
      <c r="F54" s="17">
        <v>109</v>
      </c>
      <c r="G54" s="18">
        <v>0</v>
      </c>
      <c r="H54" s="8">
        <v>215</v>
      </c>
      <c r="I54" s="8">
        <v>12</v>
      </c>
      <c r="J54" s="8">
        <v>0</v>
      </c>
      <c r="K54" s="8">
        <v>0</v>
      </c>
      <c r="L54" s="8"/>
    </row>
    <row r="55" spans="1:12" ht="14.5">
      <c r="A55" s="6">
        <f t="shared" si="0"/>
        <v>54</v>
      </c>
      <c r="B55" s="7">
        <v>45817</v>
      </c>
      <c r="C55" s="6">
        <f t="shared" si="2"/>
        <v>24</v>
      </c>
      <c r="D55" s="12">
        <v>7</v>
      </c>
      <c r="E55" s="17">
        <v>0</v>
      </c>
      <c r="F55" s="17">
        <v>0</v>
      </c>
      <c r="G55" s="18">
        <v>10</v>
      </c>
      <c r="H55" s="8">
        <v>218</v>
      </c>
      <c r="I55" s="8">
        <v>17</v>
      </c>
      <c r="J55" s="8">
        <v>0</v>
      </c>
      <c r="K55" s="8">
        <v>0</v>
      </c>
      <c r="L55" s="8"/>
    </row>
    <row r="56" spans="1:12" ht="14.5">
      <c r="A56" s="6">
        <f t="shared" si="0"/>
        <v>55</v>
      </c>
      <c r="B56" s="7">
        <v>45818</v>
      </c>
      <c r="C56" s="6">
        <f t="shared" si="2"/>
        <v>25</v>
      </c>
      <c r="D56" s="12">
        <v>6</v>
      </c>
      <c r="E56" s="17">
        <v>3062</v>
      </c>
      <c r="F56" s="17">
        <v>513</v>
      </c>
      <c r="G56" s="18">
        <v>2</v>
      </c>
      <c r="H56" s="8">
        <v>238</v>
      </c>
      <c r="I56" s="8">
        <v>21</v>
      </c>
      <c r="J56" s="8">
        <v>0</v>
      </c>
      <c r="K56" s="8">
        <v>0</v>
      </c>
      <c r="L56" s="8"/>
    </row>
    <row r="57" spans="1:12" ht="14.5">
      <c r="A57" s="6">
        <f t="shared" si="0"/>
        <v>56</v>
      </c>
      <c r="B57" s="7">
        <v>45819</v>
      </c>
      <c r="C57" s="6">
        <f t="shared" si="2"/>
        <v>26</v>
      </c>
      <c r="D57" s="12">
        <v>5</v>
      </c>
      <c r="E57" s="17">
        <v>3155</v>
      </c>
      <c r="F57" s="17">
        <v>1149</v>
      </c>
      <c r="G57" s="18">
        <v>2</v>
      </c>
      <c r="H57" s="8">
        <v>264</v>
      </c>
      <c r="I57" s="8">
        <v>28</v>
      </c>
      <c r="J57" s="8">
        <v>0</v>
      </c>
      <c r="K57" s="8">
        <v>0</v>
      </c>
      <c r="L57" s="8"/>
    </row>
    <row r="58" spans="1:12" ht="14.5">
      <c r="A58" s="6">
        <f t="shared" si="0"/>
        <v>57</v>
      </c>
      <c r="B58" s="7">
        <v>45820</v>
      </c>
      <c r="C58" s="6">
        <f t="shared" si="2"/>
        <v>27</v>
      </c>
      <c r="D58" s="12">
        <v>4</v>
      </c>
      <c r="E58" s="17">
        <v>0</v>
      </c>
      <c r="F58" s="17">
        <v>0</v>
      </c>
      <c r="G58" s="18">
        <v>0</v>
      </c>
      <c r="H58" s="8">
        <v>264</v>
      </c>
      <c r="I58" s="8">
        <v>0</v>
      </c>
      <c r="J58" s="8">
        <v>0</v>
      </c>
      <c r="K58" s="8">
        <v>0</v>
      </c>
      <c r="L58" s="8"/>
    </row>
    <row r="59" spans="1:12" ht="14.5">
      <c r="A59" s="6">
        <f t="shared" si="0"/>
        <v>58</v>
      </c>
      <c r="B59" s="7">
        <v>45821</v>
      </c>
      <c r="C59" s="6">
        <f t="shared" si="2"/>
        <v>28</v>
      </c>
      <c r="D59" s="12">
        <v>3</v>
      </c>
      <c r="E59" s="17">
        <v>409</v>
      </c>
      <c r="F59" s="17">
        <v>78</v>
      </c>
      <c r="G59" s="18">
        <v>4</v>
      </c>
      <c r="H59" s="8">
        <v>275</v>
      </c>
      <c r="I59" s="8">
        <v>29</v>
      </c>
      <c r="J59" s="8">
        <v>0</v>
      </c>
      <c r="K59" s="8">
        <v>0</v>
      </c>
      <c r="L59" s="8"/>
    </row>
    <row r="60" spans="1:12" ht="14.5">
      <c r="A60" s="6">
        <f t="shared" si="0"/>
        <v>59</v>
      </c>
      <c r="B60" s="7">
        <v>45822</v>
      </c>
      <c r="C60" s="6">
        <f t="shared" si="2"/>
        <v>29</v>
      </c>
      <c r="D60" s="12">
        <v>2</v>
      </c>
      <c r="E60" s="17">
        <v>0</v>
      </c>
      <c r="F60" s="17">
        <v>0</v>
      </c>
      <c r="G60" s="18">
        <v>3</v>
      </c>
      <c r="H60" s="8">
        <v>275</v>
      </c>
      <c r="I60" s="8">
        <v>10</v>
      </c>
      <c r="J60" s="8">
        <v>0</v>
      </c>
      <c r="K60" s="8">
        <v>0</v>
      </c>
      <c r="L60" s="8"/>
    </row>
    <row r="61" spans="1:12" ht="14.5">
      <c r="A61" s="6">
        <f t="shared" si="0"/>
        <v>60</v>
      </c>
      <c r="B61" s="7">
        <v>45823</v>
      </c>
      <c r="C61" s="6">
        <f t="shared" si="2"/>
        <v>30</v>
      </c>
      <c r="D61" s="12">
        <v>2</v>
      </c>
      <c r="E61" s="17">
        <v>2660</v>
      </c>
      <c r="F61" s="17">
        <v>306</v>
      </c>
      <c r="G61" s="18">
        <v>0</v>
      </c>
      <c r="H61" s="8">
        <v>289</v>
      </c>
      <c r="I61" s="8">
        <v>10</v>
      </c>
      <c r="J61" s="8">
        <v>0</v>
      </c>
      <c r="K61" s="8">
        <v>0</v>
      </c>
      <c r="L61" s="8"/>
    </row>
    <row r="62" spans="1:12" ht="14.5">
      <c r="A62" s="6">
        <f t="shared" si="0"/>
        <v>61</v>
      </c>
      <c r="B62" s="7">
        <v>45824</v>
      </c>
      <c r="C62" s="6">
        <f t="shared" si="2"/>
        <v>31</v>
      </c>
      <c r="D62" s="12">
        <v>1</v>
      </c>
      <c r="E62" s="17">
        <v>1072</v>
      </c>
      <c r="F62" s="17">
        <v>272</v>
      </c>
      <c r="G62" s="18">
        <v>0</v>
      </c>
      <c r="H62" s="8">
        <v>295</v>
      </c>
      <c r="I62" s="8">
        <v>7</v>
      </c>
      <c r="J62" s="8"/>
      <c r="K62" s="8"/>
      <c r="L62" s="8"/>
    </row>
    <row r="63" spans="1:12" ht="14.5">
      <c r="A63" s="6">
        <f t="shared" si="0"/>
        <v>62</v>
      </c>
      <c r="B63" s="7">
        <v>45825</v>
      </c>
      <c r="C63" s="6">
        <f t="shared" si="2"/>
        <v>32</v>
      </c>
      <c r="D63" s="12">
        <v>0</v>
      </c>
      <c r="E63" s="17">
        <v>0</v>
      </c>
      <c r="F63" s="17">
        <v>0</v>
      </c>
      <c r="G63" s="17">
        <v>0</v>
      </c>
      <c r="H63" s="8">
        <v>301</v>
      </c>
      <c r="I63" s="8"/>
      <c r="J63" s="8"/>
      <c r="K63" s="8"/>
      <c r="L63" s="8"/>
    </row>
    <row r="64" spans="1:12" ht="14.5">
      <c r="A64" s="6">
        <f t="shared" si="0"/>
        <v>63</v>
      </c>
      <c r="B64" s="7">
        <v>45825</v>
      </c>
      <c r="C64" s="6">
        <v>1</v>
      </c>
      <c r="D64" s="12">
        <v>30</v>
      </c>
      <c r="E64" s="17">
        <v>27</v>
      </c>
      <c r="F64" s="17">
        <v>0</v>
      </c>
      <c r="G64" s="17">
        <v>0</v>
      </c>
      <c r="H64" s="8">
        <v>1</v>
      </c>
      <c r="I64" s="8"/>
      <c r="J64" s="8"/>
      <c r="K64" s="8"/>
      <c r="L64" s="8"/>
    </row>
    <row r="65" spans="1:12" ht="14.5">
      <c r="A65" s="6">
        <f t="shared" si="0"/>
        <v>64</v>
      </c>
      <c r="B65" s="7">
        <f>B64+1</f>
        <v>45826</v>
      </c>
      <c r="C65" s="6">
        <f t="shared" si="2"/>
        <v>2</v>
      </c>
      <c r="D65" s="12">
        <f>D64-1</f>
        <v>29</v>
      </c>
      <c r="E65" s="17">
        <v>0</v>
      </c>
      <c r="F65" s="17">
        <v>0</v>
      </c>
      <c r="G65" s="18">
        <v>3</v>
      </c>
      <c r="H65" s="8">
        <v>6</v>
      </c>
      <c r="I65" s="8"/>
      <c r="J65" s="8"/>
      <c r="K65" s="8"/>
      <c r="L65" s="8"/>
    </row>
    <row r="66" spans="1:12" ht="14.5">
      <c r="A66" s="6">
        <f t="shared" si="0"/>
        <v>65</v>
      </c>
      <c r="B66" s="7">
        <f t="shared" ref="B66:B76" si="3">B65+1</f>
        <v>45827</v>
      </c>
      <c r="C66" s="6">
        <f t="shared" si="2"/>
        <v>3</v>
      </c>
      <c r="D66" s="12">
        <f t="shared" ref="D66:D93" si="4">D65-1</f>
        <v>28</v>
      </c>
      <c r="E66" s="17">
        <v>0</v>
      </c>
      <c r="F66" s="17">
        <v>0</v>
      </c>
      <c r="G66" s="18">
        <v>5</v>
      </c>
      <c r="H66" s="8">
        <v>6</v>
      </c>
      <c r="I66" s="8"/>
      <c r="J66" s="8"/>
      <c r="K66" s="8"/>
      <c r="L66" s="8"/>
    </row>
    <row r="67" spans="1:12" ht="14.5">
      <c r="A67" s="6">
        <f t="shared" si="0"/>
        <v>66</v>
      </c>
      <c r="B67" s="7">
        <f t="shared" si="3"/>
        <v>45828</v>
      </c>
      <c r="C67" s="6">
        <f t="shared" si="2"/>
        <v>4</v>
      </c>
      <c r="D67" s="12">
        <f t="shared" si="4"/>
        <v>27</v>
      </c>
      <c r="E67" s="17">
        <v>111</v>
      </c>
      <c r="F67" s="17">
        <v>64</v>
      </c>
      <c r="G67" s="18">
        <v>10</v>
      </c>
      <c r="H67" s="8">
        <v>14</v>
      </c>
      <c r="I67" s="8"/>
      <c r="J67" s="8"/>
      <c r="K67" s="8"/>
      <c r="L67" s="8"/>
    </row>
    <row r="68" spans="1:12" ht="14.5">
      <c r="A68" s="6">
        <f t="shared" si="0"/>
        <v>67</v>
      </c>
      <c r="B68" s="7">
        <f t="shared" si="3"/>
        <v>45829</v>
      </c>
      <c r="C68" s="6">
        <f t="shared" si="2"/>
        <v>5</v>
      </c>
      <c r="D68" s="12">
        <f t="shared" si="4"/>
        <v>26</v>
      </c>
      <c r="E68" s="17">
        <v>0</v>
      </c>
      <c r="F68" s="17">
        <v>0</v>
      </c>
      <c r="G68" s="18">
        <v>7</v>
      </c>
      <c r="H68" s="8"/>
      <c r="I68" s="8"/>
      <c r="J68" s="8"/>
      <c r="K68" s="8"/>
      <c r="L68" s="8"/>
    </row>
    <row r="69" spans="1:12" ht="14.5">
      <c r="A69" s="6">
        <f t="shared" si="0"/>
        <v>68</v>
      </c>
      <c r="B69" s="7">
        <f t="shared" si="3"/>
        <v>45830</v>
      </c>
      <c r="C69" s="6">
        <f t="shared" si="2"/>
        <v>6</v>
      </c>
      <c r="D69" s="12">
        <f t="shared" si="4"/>
        <v>25</v>
      </c>
      <c r="E69" s="17">
        <v>0</v>
      </c>
      <c r="F69" s="17">
        <v>0</v>
      </c>
      <c r="G69" s="18">
        <v>3</v>
      </c>
      <c r="H69" s="8"/>
      <c r="I69" s="8"/>
      <c r="J69" s="8"/>
      <c r="K69" s="8"/>
      <c r="L69" s="8"/>
    </row>
    <row r="70" spans="1:12" ht="14.5">
      <c r="A70" s="6">
        <f t="shared" si="0"/>
        <v>69</v>
      </c>
      <c r="B70" s="7">
        <f t="shared" si="3"/>
        <v>45831</v>
      </c>
      <c r="C70" s="6">
        <f t="shared" si="2"/>
        <v>7</v>
      </c>
      <c r="D70" s="12">
        <f t="shared" si="4"/>
        <v>24</v>
      </c>
      <c r="E70" s="17">
        <v>1</v>
      </c>
      <c r="F70" s="17">
        <v>0</v>
      </c>
      <c r="G70" s="18">
        <v>10</v>
      </c>
      <c r="H70" s="8"/>
      <c r="I70" s="8"/>
      <c r="J70" s="8"/>
      <c r="K70" s="8"/>
      <c r="L70" s="8"/>
    </row>
    <row r="71" spans="1:12" ht="14.5">
      <c r="A71" s="6">
        <f t="shared" si="0"/>
        <v>70</v>
      </c>
      <c r="B71" s="7">
        <f t="shared" si="3"/>
        <v>45832</v>
      </c>
      <c r="C71" s="6">
        <f t="shared" si="2"/>
        <v>8</v>
      </c>
      <c r="D71" s="12">
        <f t="shared" si="4"/>
        <v>23</v>
      </c>
      <c r="E71" s="17">
        <v>24</v>
      </c>
      <c r="F71" s="17">
        <v>24</v>
      </c>
      <c r="G71" s="18">
        <v>1</v>
      </c>
      <c r="H71" s="8"/>
      <c r="I71" s="8"/>
      <c r="J71" s="8"/>
      <c r="K71" s="8"/>
      <c r="L71" s="8"/>
    </row>
    <row r="72" spans="1:12" ht="14.5">
      <c r="A72" s="6">
        <f t="shared" si="0"/>
        <v>71</v>
      </c>
      <c r="B72" s="7">
        <f t="shared" si="3"/>
        <v>45833</v>
      </c>
      <c r="C72" s="6">
        <f t="shared" si="2"/>
        <v>9</v>
      </c>
      <c r="D72" s="12">
        <f t="shared" si="4"/>
        <v>22</v>
      </c>
      <c r="E72" s="17">
        <v>0</v>
      </c>
      <c r="F72" s="17">
        <v>0</v>
      </c>
      <c r="G72" s="18">
        <v>0</v>
      </c>
      <c r="H72" s="8"/>
      <c r="I72" s="8"/>
      <c r="J72" s="8"/>
      <c r="K72" s="8"/>
      <c r="L72" s="8"/>
    </row>
    <row r="73" spans="1:12" ht="14.5">
      <c r="A73" s="6">
        <f t="shared" si="0"/>
        <v>72</v>
      </c>
      <c r="B73" s="7">
        <f t="shared" si="3"/>
        <v>45834</v>
      </c>
      <c r="C73" s="6">
        <f t="shared" si="2"/>
        <v>10</v>
      </c>
      <c r="D73" s="12">
        <f t="shared" si="4"/>
        <v>21</v>
      </c>
      <c r="E73" s="17">
        <v>0</v>
      </c>
      <c r="F73" s="17">
        <v>3</v>
      </c>
      <c r="G73" s="18">
        <v>0</v>
      </c>
      <c r="H73" s="8"/>
      <c r="I73" s="8"/>
      <c r="J73" s="8"/>
      <c r="K73" s="8"/>
      <c r="L73" s="8"/>
    </row>
    <row r="74" spans="1:12" ht="14.5">
      <c r="A74" s="6">
        <f t="shared" si="0"/>
        <v>73</v>
      </c>
      <c r="B74" s="7">
        <f t="shared" si="3"/>
        <v>45835</v>
      </c>
      <c r="C74" s="6">
        <f t="shared" si="2"/>
        <v>11</v>
      </c>
      <c r="D74" s="12">
        <f t="shared" si="4"/>
        <v>20</v>
      </c>
      <c r="E74" s="17">
        <v>0</v>
      </c>
      <c r="F74" s="17">
        <v>0</v>
      </c>
      <c r="G74" s="18">
        <v>0</v>
      </c>
      <c r="H74" s="8"/>
      <c r="I74" s="8"/>
      <c r="J74" s="8"/>
      <c r="K74" s="8"/>
      <c r="L74" s="8"/>
    </row>
    <row r="75" spans="1:12" ht="14.5">
      <c r="A75" s="6">
        <f t="shared" si="0"/>
        <v>74</v>
      </c>
      <c r="B75" s="7">
        <f t="shared" si="3"/>
        <v>45836</v>
      </c>
      <c r="C75" s="6">
        <f t="shared" si="2"/>
        <v>12</v>
      </c>
      <c r="D75" s="12">
        <f t="shared" si="4"/>
        <v>19</v>
      </c>
      <c r="E75" s="17">
        <v>0</v>
      </c>
      <c r="F75" s="17">
        <v>0</v>
      </c>
      <c r="G75" s="18">
        <v>0</v>
      </c>
      <c r="H75" s="8"/>
      <c r="I75" s="8"/>
      <c r="J75" s="8"/>
      <c r="K75" s="8"/>
      <c r="L75" s="8"/>
    </row>
    <row r="76" spans="1:12" ht="14.5">
      <c r="A76" s="6">
        <f t="shared" si="0"/>
        <v>75</v>
      </c>
      <c r="B76" s="7">
        <f t="shared" si="3"/>
        <v>45837</v>
      </c>
      <c r="C76" s="6">
        <f t="shared" si="2"/>
        <v>13</v>
      </c>
      <c r="D76" s="12">
        <f t="shared" si="4"/>
        <v>18</v>
      </c>
      <c r="E76" s="17">
        <v>0</v>
      </c>
      <c r="F76" s="17">
        <v>0</v>
      </c>
      <c r="G76" s="18">
        <v>0</v>
      </c>
      <c r="H76" s="8"/>
      <c r="I76" s="8"/>
      <c r="J76" s="8"/>
      <c r="K76" s="8"/>
      <c r="L76" s="8"/>
    </row>
    <row r="77" spans="1:12" ht="14.5">
      <c r="A77" s="6">
        <f t="shared" si="0"/>
        <v>76</v>
      </c>
      <c r="B77" s="7">
        <f t="shared" ref="B77:B82" si="5">B76+1</f>
        <v>45838</v>
      </c>
      <c r="C77" s="6">
        <f t="shared" si="2"/>
        <v>14</v>
      </c>
      <c r="D77" s="12">
        <f t="shared" si="4"/>
        <v>17</v>
      </c>
      <c r="E77" s="17">
        <v>0</v>
      </c>
      <c r="F77" s="17">
        <v>0</v>
      </c>
      <c r="G77" s="18">
        <v>0</v>
      </c>
      <c r="H77" s="8"/>
      <c r="I77" s="8"/>
      <c r="J77" s="8"/>
      <c r="K77" s="8"/>
      <c r="L77" s="8"/>
    </row>
    <row r="78" spans="1:12" ht="14.5">
      <c r="A78" s="6">
        <f t="shared" si="0"/>
        <v>77</v>
      </c>
      <c r="B78" s="7">
        <f t="shared" si="5"/>
        <v>45839</v>
      </c>
      <c r="C78" s="6">
        <f t="shared" si="2"/>
        <v>15</v>
      </c>
      <c r="D78" s="12">
        <f t="shared" si="4"/>
        <v>16</v>
      </c>
      <c r="E78" s="17">
        <v>0</v>
      </c>
      <c r="F78" s="17">
        <v>0</v>
      </c>
      <c r="G78" s="18">
        <v>0</v>
      </c>
      <c r="H78" s="8"/>
      <c r="I78" s="8"/>
      <c r="J78" s="8"/>
      <c r="K78" s="8"/>
      <c r="L78" s="8"/>
    </row>
    <row r="79" spans="1:12" ht="14.5">
      <c r="A79" s="6">
        <f t="shared" si="0"/>
        <v>78</v>
      </c>
      <c r="B79" s="7">
        <f t="shared" si="5"/>
        <v>45840</v>
      </c>
      <c r="C79" s="6">
        <f t="shared" si="2"/>
        <v>16</v>
      </c>
      <c r="D79" s="12">
        <f t="shared" si="4"/>
        <v>15</v>
      </c>
      <c r="E79" s="17">
        <v>0</v>
      </c>
      <c r="F79" s="17">
        <v>0</v>
      </c>
      <c r="G79" s="18">
        <v>0</v>
      </c>
      <c r="H79" s="8"/>
      <c r="I79" s="8"/>
      <c r="J79" s="8"/>
      <c r="K79" s="8"/>
      <c r="L79" s="8"/>
    </row>
    <row r="80" spans="1:12" ht="14.5">
      <c r="A80" s="6">
        <f t="shared" si="0"/>
        <v>79</v>
      </c>
      <c r="B80" s="7">
        <f t="shared" si="5"/>
        <v>45841</v>
      </c>
      <c r="C80" s="6">
        <f t="shared" si="2"/>
        <v>17</v>
      </c>
      <c r="D80" s="12">
        <f t="shared" si="4"/>
        <v>14</v>
      </c>
      <c r="E80" s="17">
        <v>0</v>
      </c>
      <c r="F80" s="17">
        <v>0</v>
      </c>
      <c r="G80" s="18">
        <v>0</v>
      </c>
      <c r="H80" s="8"/>
      <c r="I80" s="8"/>
      <c r="J80" s="8"/>
      <c r="K80" s="8"/>
      <c r="L80" s="8"/>
    </row>
    <row r="81" spans="1:12" ht="14.5">
      <c r="A81" s="6">
        <f t="shared" si="0"/>
        <v>80</v>
      </c>
      <c r="B81" s="7">
        <f t="shared" si="5"/>
        <v>45842</v>
      </c>
      <c r="C81" s="6">
        <f t="shared" si="2"/>
        <v>18</v>
      </c>
      <c r="D81" s="12">
        <f t="shared" si="4"/>
        <v>13</v>
      </c>
      <c r="E81" s="17">
        <v>0</v>
      </c>
      <c r="F81" s="17">
        <v>0</v>
      </c>
      <c r="G81" s="18">
        <v>0</v>
      </c>
      <c r="H81" s="8"/>
      <c r="I81" s="8"/>
      <c r="J81" s="8"/>
      <c r="K81" s="8"/>
      <c r="L81" s="8"/>
    </row>
    <row r="82" spans="1:12" ht="14.5">
      <c r="A82" s="6">
        <f t="shared" si="0"/>
        <v>81</v>
      </c>
      <c r="B82" s="7">
        <f t="shared" si="5"/>
        <v>45843</v>
      </c>
      <c r="C82" s="6">
        <f t="shared" si="2"/>
        <v>19</v>
      </c>
      <c r="D82" s="12">
        <f t="shared" si="4"/>
        <v>12</v>
      </c>
      <c r="E82" s="17">
        <v>0</v>
      </c>
      <c r="F82" s="17">
        <v>0</v>
      </c>
      <c r="G82" s="18">
        <v>0</v>
      </c>
      <c r="H82" s="8"/>
      <c r="I82" s="8"/>
      <c r="J82" s="8"/>
      <c r="K82" s="8"/>
      <c r="L82" s="8"/>
    </row>
    <row r="83" spans="1:12" ht="14.5">
      <c r="A83" s="6">
        <f t="shared" si="0"/>
        <v>82</v>
      </c>
      <c r="B83" s="7">
        <f t="shared" ref="B83:C275" si="6">B82+1</f>
        <v>45844</v>
      </c>
      <c r="C83" s="6">
        <f t="shared" si="2"/>
        <v>20</v>
      </c>
      <c r="D83" s="12">
        <f t="shared" si="4"/>
        <v>11</v>
      </c>
      <c r="E83" s="17">
        <v>543</v>
      </c>
      <c r="F83" s="17">
        <v>532</v>
      </c>
      <c r="G83" s="18">
        <v>4</v>
      </c>
      <c r="H83" s="8"/>
      <c r="I83" s="8"/>
      <c r="J83" s="8"/>
      <c r="K83" s="8"/>
      <c r="L83" s="8"/>
    </row>
    <row r="84" spans="1:12" ht="14.5">
      <c r="A84" s="6">
        <f t="shared" si="0"/>
        <v>83</v>
      </c>
      <c r="B84" s="7">
        <f t="shared" si="6"/>
        <v>45845</v>
      </c>
      <c r="C84" s="6">
        <f t="shared" si="2"/>
        <v>21</v>
      </c>
      <c r="D84" s="12">
        <f t="shared" si="4"/>
        <v>10</v>
      </c>
      <c r="E84" s="17">
        <v>0</v>
      </c>
      <c r="F84" s="17">
        <v>0</v>
      </c>
      <c r="G84" s="18">
        <v>6</v>
      </c>
      <c r="H84" s="8"/>
      <c r="I84" s="8"/>
      <c r="J84" s="8"/>
      <c r="K84" s="8"/>
      <c r="L84" s="8"/>
    </row>
    <row r="85" spans="1:12" ht="14.5">
      <c r="A85" s="6">
        <f t="shared" si="0"/>
        <v>84</v>
      </c>
      <c r="B85" s="7">
        <f t="shared" si="6"/>
        <v>45846</v>
      </c>
      <c r="C85" s="6">
        <f t="shared" si="2"/>
        <v>22</v>
      </c>
      <c r="D85" s="12">
        <f t="shared" si="4"/>
        <v>9</v>
      </c>
      <c r="E85" s="17">
        <v>0</v>
      </c>
      <c r="F85" s="17">
        <v>0</v>
      </c>
      <c r="G85" s="18">
        <v>6</v>
      </c>
      <c r="H85" s="8"/>
      <c r="I85" s="8"/>
      <c r="J85" s="8"/>
      <c r="K85" s="8"/>
      <c r="L85" s="8"/>
    </row>
    <row r="86" spans="1:12" ht="14.5">
      <c r="A86" s="6">
        <f t="shared" si="0"/>
        <v>85</v>
      </c>
      <c r="B86" s="7">
        <f t="shared" si="6"/>
        <v>45847</v>
      </c>
      <c r="C86" s="6">
        <f t="shared" si="2"/>
        <v>23</v>
      </c>
      <c r="D86" s="12">
        <f t="shared" si="4"/>
        <v>8</v>
      </c>
      <c r="E86" s="17">
        <v>0</v>
      </c>
      <c r="F86" s="17">
        <v>0</v>
      </c>
      <c r="G86" s="18">
        <v>0</v>
      </c>
      <c r="H86" s="8"/>
      <c r="I86" s="8"/>
      <c r="J86" s="8"/>
      <c r="K86" s="8"/>
      <c r="L86" s="8"/>
    </row>
    <row r="87" spans="1:12" ht="14.5">
      <c r="A87" s="6">
        <f t="shared" si="0"/>
        <v>86</v>
      </c>
      <c r="B87" s="7">
        <f t="shared" si="6"/>
        <v>45848</v>
      </c>
      <c r="C87" s="6">
        <f t="shared" si="2"/>
        <v>24</v>
      </c>
      <c r="D87" s="12">
        <f t="shared" si="4"/>
        <v>7</v>
      </c>
      <c r="E87" s="17">
        <v>319</v>
      </c>
      <c r="F87" s="17">
        <v>253</v>
      </c>
      <c r="G87" s="18">
        <v>11</v>
      </c>
      <c r="H87" s="8"/>
      <c r="I87" s="8"/>
      <c r="J87" s="8"/>
      <c r="K87" s="8"/>
      <c r="L87" s="8"/>
    </row>
    <row r="88" spans="1:12" ht="14.5">
      <c r="A88" s="6">
        <f t="shared" si="0"/>
        <v>87</v>
      </c>
      <c r="B88" s="7">
        <f t="shared" si="6"/>
        <v>45849</v>
      </c>
      <c r="C88" s="6">
        <f t="shared" si="2"/>
        <v>25</v>
      </c>
      <c r="D88" s="12">
        <f t="shared" si="4"/>
        <v>6</v>
      </c>
      <c r="E88" s="17">
        <v>15</v>
      </c>
      <c r="F88" s="17">
        <v>15</v>
      </c>
      <c r="G88" s="18">
        <v>14</v>
      </c>
      <c r="H88" s="8"/>
      <c r="I88" s="8"/>
      <c r="J88" s="8"/>
      <c r="K88" s="8"/>
      <c r="L88" s="8"/>
    </row>
    <row r="89" spans="1:12" ht="14.5">
      <c r="A89" s="6">
        <f t="shared" si="0"/>
        <v>88</v>
      </c>
      <c r="B89" s="7">
        <f t="shared" si="6"/>
        <v>45850</v>
      </c>
      <c r="C89" s="6">
        <f t="shared" si="2"/>
        <v>26</v>
      </c>
      <c r="D89" s="12">
        <f t="shared" si="4"/>
        <v>5</v>
      </c>
      <c r="E89" s="17">
        <v>0</v>
      </c>
      <c r="F89" s="17">
        <v>0</v>
      </c>
      <c r="G89" s="18">
        <v>2</v>
      </c>
      <c r="H89" s="8"/>
      <c r="I89" s="8"/>
      <c r="J89" s="8"/>
      <c r="K89" s="8"/>
      <c r="L89" s="8"/>
    </row>
    <row r="90" spans="1:12" ht="14.5">
      <c r="A90" s="6">
        <f t="shared" si="0"/>
        <v>89</v>
      </c>
      <c r="B90" s="7">
        <f t="shared" si="6"/>
        <v>45851</v>
      </c>
      <c r="C90" s="6">
        <f t="shared" si="2"/>
        <v>27</v>
      </c>
      <c r="D90" s="12">
        <f t="shared" si="4"/>
        <v>4</v>
      </c>
      <c r="E90" s="17">
        <v>0</v>
      </c>
      <c r="F90" s="17">
        <v>0</v>
      </c>
      <c r="G90" s="18">
        <v>20</v>
      </c>
      <c r="H90" s="8"/>
      <c r="I90" s="8"/>
      <c r="J90" s="8"/>
      <c r="K90" s="8"/>
      <c r="L90" s="8"/>
    </row>
    <row r="91" spans="1:12" ht="14.5">
      <c r="A91" s="6">
        <f t="shared" si="0"/>
        <v>90</v>
      </c>
      <c r="B91" s="7">
        <f t="shared" si="6"/>
        <v>45852</v>
      </c>
      <c r="C91" s="6">
        <f t="shared" si="2"/>
        <v>28</v>
      </c>
      <c r="D91" s="12">
        <f t="shared" si="4"/>
        <v>3</v>
      </c>
      <c r="E91" s="17">
        <v>0</v>
      </c>
      <c r="F91" s="17">
        <v>0</v>
      </c>
      <c r="G91" s="18">
        <v>9</v>
      </c>
      <c r="H91" s="8"/>
      <c r="I91" s="8"/>
      <c r="J91" s="8"/>
      <c r="K91" s="8"/>
      <c r="L91" s="8"/>
    </row>
    <row r="92" spans="1:12" ht="14.5">
      <c r="A92" s="6">
        <f t="shared" si="0"/>
        <v>91</v>
      </c>
      <c r="B92" s="7">
        <f t="shared" si="6"/>
        <v>45853</v>
      </c>
      <c r="C92" s="6">
        <f t="shared" si="2"/>
        <v>29</v>
      </c>
      <c r="D92" s="12">
        <f t="shared" si="4"/>
        <v>2</v>
      </c>
      <c r="E92" s="17">
        <v>0</v>
      </c>
      <c r="F92" s="17">
        <v>0</v>
      </c>
      <c r="G92" s="18">
        <v>0</v>
      </c>
      <c r="H92" s="8"/>
      <c r="I92" s="8"/>
      <c r="J92" s="8"/>
      <c r="K92" s="8"/>
      <c r="L92" s="8"/>
    </row>
    <row r="93" spans="1:12" ht="14.5">
      <c r="A93" s="6">
        <f t="shared" si="0"/>
        <v>92</v>
      </c>
      <c r="B93" s="7">
        <f t="shared" si="6"/>
        <v>45854</v>
      </c>
      <c r="C93" s="6">
        <f t="shared" si="2"/>
        <v>30</v>
      </c>
      <c r="D93" s="12">
        <f t="shared" si="4"/>
        <v>1</v>
      </c>
      <c r="E93" s="17">
        <v>2664</v>
      </c>
      <c r="F93" s="17">
        <v>2136</v>
      </c>
      <c r="G93" s="18">
        <v>0</v>
      </c>
      <c r="H93" s="8"/>
      <c r="I93" s="8"/>
      <c r="J93" s="8"/>
      <c r="K93" s="8"/>
      <c r="L93" s="8"/>
    </row>
    <row r="94" spans="1:12" ht="14.5">
      <c r="A94" s="6">
        <f t="shared" si="0"/>
        <v>93</v>
      </c>
      <c r="B94" s="7">
        <f t="shared" si="6"/>
        <v>45855</v>
      </c>
      <c r="C94" s="6">
        <v>1</v>
      </c>
      <c r="D94" s="12">
        <v>30</v>
      </c>
      <c r="E94" s="17">
        <v>5302</v>
      </c>
      <c r="F94" s="17">
        <v>3684</v>
      </c>
      <c r="G94" s="18">
        <v>0</v>
      </c>
      <c r="H94" s="8"/>
      <c r="I94" s="8"/>
      <c r="J94" s="8"/>
      <c r="K94" s="8"/>
      <c r="L94" s="8"/>
    </row>
    <row r="95" spans="1:12" ht="14.5">
      <c r="A95" s="6">
        <f t="shared" si="0"/>
        <v>94</v>
      </c>
      <c r="B95" s="7">
        <f t="shared" si="6"/>
        <v>45856</v>
      </c>
      <c r="C95" s="6">
        <f t="shared" ref="C95:C100" si="7">C94+1</f>
        <v>2</v>
      </c>
      <c r="D95" s="12">
        <f t="shared" ref="D95:D100" si="8">D94-1</f>
        <v>29</v>
      </c>
      <c r="E95" s="17">
        <v>7663</v>
      </c>
      <c r="F95" s="17">
        <v>5663</v>
      </c>
      <c r="G95" s="18">
        <v>1</v>
      </c>
      <c r="H95" s="8"/>
      <c r="I95" s="8"/>
      <c r="J95" s="8"/>
      <c r="K95" s="8"/>
      <c r="L95" s="8"/>
    </row>
    <row r="96" spans="1:12" ht="14.5">
      <c r="A96" s="6">
        <f t="shared" si="0"/>
        <v>95</v>
      </c>
      <c r="B96" s="7">
        <f t="shared" si="6"/>
        <v>45857</v>
      </c>
      <c r="C96" s="6">
        <f t="shared" si="7"/>
        <v>3</v>
      </c>
      <c r="D96" s="12">
        <f t="shared" si="8"/>
        <v>28</v>
      </c>
      <c r="E96" s="17">
        <v>1297</v>
      </c>
      <c r="F96" s="17">
        <v>107</v>
      </c>
      <c r="G96" s="18">
        <v>8</v>
      </c>
      <c r="H96" s="8"/>
      <c r="I96" s="8"/>
      <c r="J96" s="8"/>
      <c r="K96" s="8"/>
      <c r="L96" s="8"/>
    </row>
    <row r="97" spans="1:12" ht="14.5">
      <c r="A97" s="6">
        <f t="shared" si="0"/>
        <v>96</v>
      </c>
      <c r="B97" s="7">
        <f t="shared" si="6"/>
        <v>45858</v>
      </c>
      <c r="C97" s="6">
        <f t="shared" si="7"/>
        <v>4</v>
      </c>
      <c r="D97" s="12">
        <f t="shared" si="8"/>
        <v>27</v>
      </c>
      <c r="E97" s="17">
        <v>3469</v>
      </c>
      <c r="F97" s="17">
        <v>919</v>
      </c>
      <c r="G97" s="18">
        <v>0</v>
      </c>
      <c r="H97" s="8"/>
      <c r="I97" s="8"/>
      <c r="J97" s="8"/>
      <c r="K97" s="8"/>
      <c r="L97" s="8"/>
    </row>
    <row r="98" spans="1:12" ht="14.5">
      <c r="A98" s="6">
        <f t="shared" si="0"/>
        <v>97</v>
      </c>
      <c r="B98" s="7">
        <f t="shared" si="6"/>
        <v>45859</v>
      </c>
      <c r="C98" s="6">
        <f t="shared" si="7"/>
        <v>5</v>
      </c>
      <c r="D98" s="12">
        <f t="shared" si="8"/>
        <v>26</v>
      </c>
      <c r="E98" s="17">
        <v>1316</v>
      </c>
      <c r="F98" s="17">
        <v>580</v>
      </c>
      <c r="G98" s="18">
        <v>3</v>
      </c>
      <c r="H98" s="8"/>
      <c r="I98" s="8"/>
      <c r="J98" s="8"/>
      <c r="K98" s="8"/>
      <c r="L98" s="8"/>
    </row>
    <row r="99" spans="1:12" ht="14.5">
      <c r="A99" s="6">
        <f t="shared" si="0"/>
        <v>98</v>
      </c>
      <c r="B99" s="7">
        <f t="shared" si="6"/>
        <v>45860</v>
      </c>
      <c r="C99" s="6">
        <f t="shared" si="7"/>
        <v>6</v>
      </c>
      <c r="D99" s="12">
        <f t="shared" si="8"/>
        <v>25</v>
      </c>
      <c r="E99" s="17">
        <v>2402</v>
      </c>
      <c r="F99" s="17">
        <v>154</v>
      </c>
      <c r="G99" s="18">
        <v>1</v>
      </c>
      <c r="H99" s="8"/>
      <c r="I99" s="8"/>
      <c r="J99" s="8"/>
      <c r="K99" s="8"/>
      <c r="L99" s="8"/>
    </row>
    <row r="100" spans="1:12" ht="14.5">
      <c r="A100" s="6">
        <f t="shared" si="0"/>
        <v>99</v>
      </c>
      <c r="B100" s="7">
        <f t="shared" si="6"/>
        <v>45861</v>
      </c>
      <c r="C100" s="6">
        <f t="shared" si="7"/>
        <v>7</v>
      </c>
      <c r="D100" s="12">
        <f t="shared" si="8"/>
        <v>24</v>
      </c>
      <c r="E100" s="17">
        <v>3970</v>
      </c>
      <c r="F100" s="17">
        <v>507</v>
      </c>
      <c r="G100" s="18">
        <v>0</v>
      </c>
      <c r="H100" s="8"/>
      <c r="I100" s="8"/>
      <c r="J100" s="8"/>
      <c r="K100" s="8"/>
      <c r="L100" s="8"/>
    </row>
    <row r="101" spans="1:12" ht="14.5">
      <c r="A101" s="6">
        <f t="shared" si="0"/>
        <v>100</v>
      </c>
      <c r="B101" s="7">
        <f t="shared" si="6"/>
        <v>45862</v>
      </c>
      <c r="C101" s="6">
        <f t="shared" ref="C101:C246" si="9">C100+1</f>
        <v>8</v>
      </c>
      <c r="D101" s="12">
        <f t="shared" ref="D101:D287" si="10">D100-1</f>
        <v>23</v>
      </c>
      <c r="E101" s="17">
        <v>3014</v>
      </c>
      <c r="F101" s="17">
        <v>1600</v>
      </c>
      <c r="G101" s="18">
        <v>0</v>
      </c>
      <c r="H101" s="8"/>
      <c r="I101" s="8"/>
      <c r="J101" s="8"/>
      <c r="K101" s="8"/>
      <c r="L101" s="8"/>
    </row>
    <row r="102" spans="1:12" ht="14.5">
      <c r="A102" s="6">
        <f t="shared" si="0"/>
        <v>101</v>
      </c>
      <c r="B102" s="7">
        <f t="shared" si="6"/>
        <v>45863</v>
      </c>
      <c r="C102" s="6">
        <f t="shared" si="9"/>
        <v>9</v>
      </c>
      <c r="D102" s="12">
        <f t="shared" si="10"/>
        <v>22</v>
      </c>
      <c r="E102" s="17">
        <v>3454</v>
      </c>
      <c r="F102" s="17">
        <v>903</v>
      </c>
      <c r="G102" s="18">
        <v>6</v>
      </c>
      <c r="H102" s="8"/>
      <c r="I102" s="8"/>
      <c r="J102" s="8"/>
      <c r="K102" s="8"/>
      <c r="L102" s="8"/>
    </row>
    <row r="103" spans="1:12" ht="14.5">
      <c r="A103" s="6">
        <f t="shared" si="0"/>
        <v>102</v>
      </c>
      <c r="B103" s="7">
        <f t="shared" si="6"/>
        <v>45864</v>
      </c>
      <c r="C103" s="6">
        <f t="shared" si="9"/>
        <v>10</v>
      </c>
      <c r="D103" s="12">
        <f t="shared" si="10"/>
        <v>21</v>
      </c>
      <c r="E103" s="17">
        <v>7102</v>
      </c>
      <c r="F103" s="17">
        <v>1889</v>
      </c>
      <c r="G103" s="18">
        <v>0</v>
      </c>
      <c r="H103" s="8"/>
      <c r="I103" s="8"/>
      <c r="J103" s="8"/>
      <c r="K103" s="8"/>
      <c r="L103" s="8"/>
    </row>
    <row r="104" spans="1:12" ht="14.5">
      <c r="A104" s="6">
        <f t="shared" si="0"/>
        <v>103</v>
      </c>
      <c r="B104" s="7">
        <f t="shared" si="6"/>
        <v>45865</v>
      </c>
      <c r="C104" s="6">
        <f t="shared" si="9"/>
        <v>11</v>
      </c>
      <c r="D104" s="12">
        <f t="shared" si="10"/>
        <v>20</v>
      </c>
      <c r="E104" s="17">
        <v>7974</v>
      </c>
      <c r="F104" s="17">
        <v>4290</v>
      </c>
      <c r="G104" s="18">
        <v>0</v>
      </c>
      <c r="H104" s="8"/>
      <c r="I104" s="8"/>
      <c r="J104" s="8"/>
      <c r="K104" s="8"/>
      <c r="L104" s="8"/>
    </row>
    <row r="105" spans="1:12" ht="14.5">
      <c r="A105" s="6">
        <f t="shared" si="0"/>
        <v>104</v>
      </c>
      <c r="B105" s="7">
        <f t="shared" si="6"/>
        <v>45866</v>
      </c>
      <c r="C105" s="6">
        <f t="shared" si="9"/>
        <v>12</v>
      </c>
      <c r="D105" s="12">
        <f t="shared" si="10"/>
        <v>19</v>
      </c>
      <c r="E105" s="17">
        <v>217</v>
      </c>
      <c r="F105" s="17">
        <v>3</v>
      </c>
      <c r="G105" s="18">
        <v>2</v>
      </c>
      <c r="H105" s="8"/>
      <c r="I105" s="8"/>
      <c r="J105" s="8"/>
      <c r="K105" s="8"/>
      <c r="L105" s="8"/>
    </row>
    <row r="106" spans="1:12" ht="14.5">
      <c r="A106" s="6">
        <f t="shared" si="0"/>
        <v>105</v>
      </c>
      <c r="B106" s="7">
        <f t="shared" si="6"/>
        <v>45867</v>
      </c>
      <c r="C106" s="6">
        <f t="shared" si="9"/>
        <v>13</v>
      </c>
      <c r="D106" s="12">
        <f t="shared" si="10"/>
        <v>18</v>
      </c>
      <c r="E106" s="17">
        <v>1424</v>
      </c>
      <c r="F106" s="17">
        <v>989</v>
      </c>
      <c r="G106" s="18">
        <v>2</v>
      </c>
      <c r="H106" s="8"/>
      <c r="I106" s="8"/>
      <c r="J106" s="8"/>
      <c r="K106" s="8"/>
      <c r="L106" s="8"/>
    </row>
    <row r="107" spans="1:12" ht="14.5">
      <c r="A107" s="6">
        <f t="shared" si="0"/>
        <v>106</v>
      </c>
      <c r="B107" s="7">
        <f t="shared" si="6"/>
        <v>45868</v>
      </c>
      <c r="C107" s="6">
        <f t="shared" si="9"/>
        <v>14</v>
      </c>
      <c r="D107" s="12">
        <f t="shared" si="10"/>
        <v>17</v>
      </c>
      <c r="E107" s="17">
        <v>2013</v>
      </c>
      <c r="F107" s="17">
        <v>1112</v>
      </c>
      <c r="G107" s="18">
        <v>7</v>
      </c>
      <c r="H107" s="8"/>
      <c r="I107" s="8"/>
      <c r="J107" s="8"/>
      <c r="K107" s="8"/>
      <c r="L107" s="8"/>
    </row>
    <row r="108" spans="1:12" ht="14.5">
      <c r="A108" s="6">
        <f t="shared" si="0"/>
        <v>107</v>
      </c>
      <c r="B108" s="7">
        <f t="shared" si="6"/>
        <v>45869</v>
      </c>
      <c r="C108" s="6">
        <f t="shared" si="9"/>
        <v>15</v>
      </c>
      <c r="D108" s="12">
        <f t="shared" si="10"/>
        <v>16</v>
      </c>
      <c r="E108" s="17">
        <v>0</v>
      </c>
      <c r="F108" s="17">
        <v>0</v>
      </c>
      <c r="G108" s="18">
        <v>0</v>
      </c>
      <c r="H108" s="8"/>
      <c r="I108" s="8"/>
      <c r="J108" s="8"/>
      <c r="K108" s="8"/>
      <c r="L108" s="8"/>
    </row>
    <row r="109" spans="1:12" ht="14.5">
      <c r="A109" s="6">
        <f t="shared" si="0"/>
        <v>108</v>
      </c>
      <c r="B109" s="7">
        <f t="shared" si="6"/>
        <v>45870</v>
      </c>
      <c r="C109" s="6">
        <f t="shared" si="9"/>
        <v>16</v>
      </c>
      <c r="D109" s="12">
        <f t="shared" si="10"/>
        <v>15</v>
      </c>
      <c r="E109" s="17">
        <v>0</v>
      </c>
      <c r="F109" s="17">
        <v>0</v>
      </c>
      <c r="G109" s="18">
        <v>8</v>
      </c>
      <c r="H109" s="8"/>
      <c r="I109" s="8"/>
      <c r="J109" s="8"/>
      <c r="K109" s="8"/>
      <c r="L109" s="8"/>
    </row>
    <row r="110" spans="1:12" ht="14.5">
      <c r="A110" s="6">
        <f t="shared" si="0"/>
        <v>109</v>
      </c>
      <c r="B110" s="7">
        <f t="shared" si="6"/>
        <v>45871</v>
      </c>
      <c r="C110" s="6">
        <f t="shared" si="9"/>
        <v>17</v>
      </c>
      <c r="D110" s="12">
        <f t="shared" si="10"/>
        <v>14</v>
      </c>
      <c r="E110" s="17">
        <v>0</v>
      </c>
      <c r="F110" s="17">
        <v>0</v>
      </c>
      <c r="G110" s="18">
        <v>5</v>
      </c>
      <c r="H110" s="8"/>
      <c r="I110" s="8"/>
      <c r="J110" s="8"/>
      <c r="K110" s="8"/>
      <c r="L110" s="8"/>
    </row>
    <row r="111" spans="1:12" ht="14.5">
      <c r="A111" s="6">
        <f t="shared" si="0"/>
        <v>110</v>
      </c>
      <c r="B111" s="7">
        <f t="shared" si="6"/>
        <v>45872</v>
      </c>
      <c r="C111" s="6">
        <f t="shared" si="9"/>
        <v>18</v>
      </c>
      <c r="D111" s="12">
        <f t="shared" si="10"/>
        <v>13</v>
      </c>
      <c r="E111" s="17">
        <v>0</v>
      </c>
      <c r="F111" s="17">
        <v>0</v>
      </c>
      <c r="G111" s="18">
        <v>3</v>
      </c>
      <c r="H111" s="8"/>
      <c r="I111" s="8"/>
      <c r="J111" s="8"/>
      <c r="K111" s="8"/>
      <c r="L111" s="8"/>
    </row>
    <row r="112" spans="1:12" ht="14.5">
      <c r="A112" s="6">
        <f t="shared" si="0"/>
        <v>111</v>
      </c>
      <c r="B112" s="7">
        <f t="shared" si="6"/>
        <v>45873</v>
      </c>
      <c r="C112" s="6">
        <f t="shared" si="9"/>
        <v>19</v>
      </c>
      <c r="D112" s="12">
        <f t="shared" si="10"/>
        <v>12</v>
      </c>
      <c r="E112" s="17">
        <v>0</v>
      </c>
      <c r="F112" s="17">
        <v>0</v>
      </c>
      <c r="G112" s="18">
        <v>4</v>
      </c>
      <c r="H112" s="8"/>
      <c r="I112" s="8"/>
      <c r="J112" s="8"/>
      <c r="K112" s="8"/>
      <c r="L112" s="8"/>
    </row>
    <row r="113" spans="1:12" ht="14.5">
      <c r="A113" s="6">
        <f t="shared" si="0"/>
        <v>112</v>
      </c>
      <c r="B113" s="7">
        <f t="shared" si="6"/>
        <v>45874</v>
      </c>
      <c r="C113" s="6">
        <f t="shared" si="9"/>
        <v>20</v>
      </c>
      <c r="D113" s="12">
        <f t="shared" si="10"/>
        <v>11</v>
      </c>
      <c r="E113" s="17">
        <v>0</v>
      </c>
      <c r="F113" s="17">
        <v>0</v>
      </c>
      <c r="G113" s="17">
        <v>0</v>
      </c>
      <c r="H113" s="8"/>
      <c r="I113" s="8"/>
      <c r="J113" s="8"/>
      <c r="K113" s="8"/>
      <c r="L113" s="8"/>
    </row>
    <row r="114" spans="1:12" ht="14.5">
      <c r="A114" s="6">
        <f t="shared" si="0"/>
        <v>113</v>
      </c>
      <c r="B114" s="7">
        <f t="shared" si="6"/>
        <v>45875</v>
      </c>
      <c r="C114" s="6">
        <f t="shared" si="9"/>
        <v>21</v>
      </c>
      <c r="D114" s="12">
        <f t="shared" si="10"/>
        <v>10</v>
      </c>
      <c r="E114" s="17">
        <v>806</v>
      </c>
      <c r="F114" s="17">
        <v>133</v>
      </c>
      <c r="G114" s="17">
        <v>9</v>
      </c>
      <c r="H114" s="8"/>
      <c r="I114" s="8"/>
      <c r="J114" s="8"/>
      <c r="K114" s="8"/>
      <c r="L114" s="8"/>
    </row>
    <row r="115" spans="1:12" ht="14.5">
      <c r="A115" s="6">
        <f t="shared" si="0"/>
        <v>114</v>
      </c>
      <c r="B115" s="7">
        <f t="shared" si="6"/>
        <v>45876</v>
      </c>
      <c r="C115" s="6">
        <f t="shared" si="9"/>
        <v>22</v>
      </c>
      <c r="D115" s="12">
        <f t="shared" si="10"/>
        <v>9</v>
      </c>
      <c r="E115" s="17">
        <v>96</v>
      </c>
      <c r="F115" s="17">
        <v>4</v>
      </c>
      <c r="G115" s="17">
        <v>10</v>
      </c>
      <c r="H115" s="8"/>
      <c r="I115" s="8"/>
      <c r="J115" s="8"/>
      <c r="K115" s="8"/>
      <c r="L115" s="8"/>
    </row>
    <row r="116" spans="1:12" ht="14.5">
      <c r="A116" s="6">
        <f t="shared" si="0"/>
        <v>115</v>
      </c>
      <c r="B116" s="7">
        <f t="shared" si="6"/>
        <v>45877</v>
      </c>
      <c r="C116" s="6">
        <f t="shared" si="9"/>
        <v>23</v>
      </c>
      <c r="D116" s="12">
        <f t="shared" si="10"/>
        <v>8</v>
      </c>
      <c r="E116" s="17">
        <v>456</v>
      </c>
      <c r="F116" s="17">
        <v>0</v>
      </c>
      <c r="G116" s="17">
        <v>9</v>
      </c>
      <c r="H116" s="8"/>
      <c r="I116" s="8"/>
      <c r="J116" s="8"/>
      <c r="K116" s="8"/>
      <c r="L116" s="8"/>
    </row>
    <row r="117" spans="1:12" ht="14.5">
      <c r="A117" s="6">
        <f t="shared" si="0"/>
        <v>116</v>
      </c>
      <c r="B117" s="7">
        <f t="shared" si="6"/>
        <v>45878</v>
      </c>
      <c r="C117" s="6">
        <f t="shared" si="9"/>
        <v>24</v>
      </c>
      <c r="D117" s="12">
        <f t="shared" si="10"/>
        <v>7</v>
      </c>
      <c r="E117" s="17">
        <v>5090</v>
      </c>
      <c r="F117" s="17">
        <v>0</v>
      </c>
      <c r="G117" s="17">
        <v>1</v>
      </c>
      <c r="H117" s="8"/>
      <c r="I117" s="8"/>
      <c r="J117" s="8"/>
      <c r="K117" s="8"/>
      <c r="L117" s="8"/>
    </row>
    <row r="118" spans="1:12" ht="14.5">
      <c r="A118" s="6">
        <f t="shared" si="0"/>
        <v>117</v>
      </c>
      <c r="B118" s="7">
        <f t="shared" si="6"/>
        <v>45879</v>
      </c>
      <c r="C118" s="6">
        <f t="shared" si="9"/>
        <v>25</v>
      </c>
      <c r="D118" s="12">
        <f t="shared" si="10"/>
        <v>6</v>
      </c>
      <c r="E118" s="17">
        <v>1038</v>
      </c>
      <c r="F118" s="17">
        <v>0</v>
      </c>
      <c r="G118" s="17">
        <v>5</v>
      </c>
      <c r="H118" s="8"/>
      <c r="I118" s="8"/>
      <c r="J118" s="8"/>
      <c r="K118" s="8"/>
      <c r="L118" s="8"/>
    </row>
    <row r="119" spans="1:12" ht="14.5">
      <c r="A119" s="6">
        <f t="shared" si="0"/>
        <v>118</v>
      </c>
      <c r="B119" s="7">
        <f t="shared" si="6"/>
        <v>45880</v>
      </c>
      <c r="C119" s="6">
        <f t="shared" si="9"/>
        <v>26</v>
      </c>
      <c r="D119" s="12">
        <f t="shared" si="10"/>
        <v>5</v>
      </c>
      <c r="E119" s="17">
        <v>0</v>
      </c>
      <c r="F119" s="17">
        <v>0</v>
      </c>
      <c r="G119" s="17">
        <v>9</v>
      </c>
      <c r="H119" s="8"/>
      <c r="I119" s="8"/>
      <c r="J119" s="8"/>
      <c r="K119" s="8"/>
      <c r="L119" s="8"/>
    </row>
    <row r="120" spans="1:12" ht="14.5">
      <c r="A120" s="6">
        <f t="shared" si="0"/>
        <v>119</v>
      </c>
      <c r="B120" s="7">
        <f t="shared" si="6"/>
        <v>45881</v>
      </c>
      <c r="C120" s="6">
        <f t="shared" si="9"/>
        <v>27</v>
      </c>
      <c r="D120" s="12">
        <f t="shared" si="10"/>
        <v>4</v>
      </c>
      <c r="E120" s="17">
        <v>0</v>
      </c>
      <c r="F120" s="17">
        <v>0</v>
      </c>
      <c r="G120" s="17">
        <v>3</v>
      </c>
      <c r="H120" s="8"/>
      <c r="I120" s="8"/>
      <c r="J120" s="8"/>
      <c r="K120" s="8"/>
      <c r="L120" s="8"/>
    </row>
    <row r="121" spans="1:12" ht="14.5">
      <c r="A121" s="6">
        <f t="shared" si="0"/>
        <v>120</v>
      </c>
      <c r="B121" s="7">
        <f t="shared" si="6"/>
        <v>45882</v>
      </c>
      <c r="C121" s="6">
        <f t="shared" si="9"/>
        <v>28</v>
      </c>
      <c r="D121" s="12">
        <f t="shared" si="10"/>
        <v>3</v>
      </c>
      <c r="E121" s="17">
        <v>0</v>
      </c>
      <c r="F121" s="17">
        <v>0</v>
      </c>
      <c r="G121" s="17">
        <v>2</v>
      </c>
      <c r="H121" s="8"/>
      <c r="I121" s="8"/>
      <c r="J121" s="8"/>
      <c r="K121" s="8"/>
      <c r="L121" s="8"/>
    </row>
    <row r="122" spans="1:12" ht="14.5">
      <c r="A122" s="6">
        <f t="shared" si="0"/>
        <v>121</v>
      </c>
      <c r="B122" s="7">
        <f t="shared" si="6"/>
        <v>45883</v>
      </c>
      <c r="C122" s="6">
        <f t="shared" si="9"/>
        <v>29</v>
      </c>
      <c r="D122" s="12">
        <f t="shared" si="10"/>
        <v>2</v>
      </c>
      <c r="E122" s="17">
        <v>0</v>
      </c>
      <c r="F122" s="17">
        <v>0</v>
      </c>
      <c r="G122" s="17">
        <v>0</v>
      </c>
      <c r="H122" s="8"/>
      <c r="I122" s="8"/>
      <c r="J122" s="8"/>
      <c r="K122" s="8"/>
      <c r="L122" s="8"/>
    </row>
    <row r="123" spans="1:12" ht="14.5">
      <c r="A123" s="6">
        <f t="shared" si="0"/>
        <v>122</v>
      </c>
      <c r="B123" s="7">
        <f t="shared" si="6"/>
        <v>45884</v>
      </c>
      <c r="C123" s="6">
        <f t="shared" si="9"/>
        <v>30</v>
      </c>
      <c r="D123" s="12">
        <f t="shared" si="10"/>
        <v>1</v>
      </c>
      <c r="E123" s="17">
        <v>1</v>
      </c>
      <c r="F123" s="17">
        <v>0</v>
      </c>
      <c r="G123" s="17">
        <v>0</v>
      </c>
      <c r="H123" s="8"/>
      <c r="I123" s="8"/>
      <c r="J123" s="8"/>
      <c r="K123" s="8"/>
      <c r="L123" s="8"/>
    </row>
    <row r="124" spans="1:12" ht="14.5">
      <c r="A124" s="6">
        <f t="shared" si="0"/>
        <v>123</v>
      </c>
      <c r="B124" s="7">
        <f t="shared" si="6"/>
        <v>45885</v>
      </c>
      <c r="C124" s="6">
        <f t="shared" si="9"/>
        <v>31</v>
      </c>
      <c r="D124" s="12">
        <f t="shared" si="10"/>
        <v>0</v>
      </c>
      <c r="E124" s="17">
        <v>61</v>
      </c>
      <c r="F124" s="17">
        <v>1649</v>
      </c>
      <c r="G124" s="17">
        <v>6</v>
      </c>
      <c r="H124" s="8"/>
      <c r="I124" s="8"/>
      <c r="J124" s="8"/>
      <c r="K124" s="8"/>
      <c r="L124" s="8"/>
    </row>
    <row r="125" spans="1:12" ht="14.5">
      <c r="A125" s="6">
        <f t="shared" si="0"/>
        <v>124</v>
      </c>
      <c r="B125" s="7">
        <f t="shared" si="6"/>
        <v>45886</v>
      </c>
      <c r="C125" s="6">
        <v>1</v>
      </c>
      <c r="D125" s="12">
        <v>30</v>
      </c>
      <c r="E125" s="17">
        <v>36</v>
      </c>
      <c r="F125" s="17">
        <v>57</v>
      </c>
      <c r="G125" s="17">
        <v>12</v>
      </c>
      <c r="H125" s="8"/>
      <c r="I125" s="8"/>
      <c r="J125" s="8"/>
      <c r="K125" s="8"/>
      <c r="L125" s="8"/>
    </row>
    <row r="126" spans="1:12" ht="14.5">
      <c r="A126" s="6">
        <f t="shared" si="0"/>
        <v>125</v>
      </c>
      <c r="B126" s="7">
        <f t="shared" si="6"/>
        <v>45887</v>
      </c>
      <c r="C126" s="6">
        <f t="shared" si="9"/>
        <v>2</v>
      </c>
      <c r="D126" s="12">
        <f t="shared" si="10"/>
        <v>29</v>
      </c>
      <c r="E126" s="17">
        <v>0</v>
      </c>
      <c r="F126" s="17">
        <v>0</v>
      </c>
      <c r="G126" s="17">
        <v>3</v>
      </c>
      <c r="H126" s="8"/>
      <c r="I126" s="8"/>
      <c r="J126" s="8"/>
      <c r="K126" s="8"/>
      <c r="L126" s="8"/>
    </row>
    <row r="127" spans="1:12" ht="14.5">
      <c r="A127" s="6">
        <f t="shared" si="0"/>
        <v>126</v>
      </c>
      <c r="B127" s="7">
        <f t="shared" si="6"/>
        <v>45888</v>
      </c>
      <c r="C127" s="6">
        <f t="shared" si="9"/>
        <v>3</v>
      </c>
      <c r="D127" s="12">
        <f t="shared" si="10"/>
        <v>28</v>
      </c>
      <c r="E127" s="17">
        <v>287</v>
      </c>
      <c r="F127" s="17">
        <v>1696</v>
      </c>
      <c r="G127" s="17">
        <v>5</v>
      </c>
      <c r="H127" s="8"/>
      <c r="I127" s="8"/>
      <c r="J127" s="8"/>
      <c r="K127" s="8"/>
      <c r="L127" s="8"/>
    </row>
    <row r="128" spans="1:12" ht="14.5">
      <c r="A128" s="6">
        <f t="shared" si="0"/>
        <v>127</v>
      </c>
      <c r="B128" s="7">
        <f t="shared" si="6"/>
        <v>45889</v>
      </c>
      <c r="C128" s="6">
        <f t="shared" si="9"/>
        <v>4</v>
      </c>
      <c r="D128" s="12">
        <f t="shared" si="10"/>
        <v>27</v>
      </c>
      <c r="E128" s="17">
        <v>682</v>
      </c>
      <c r="F128" s="17">
        <v>1901</v>
      </c>
      <c r="G128" s="17">
        <v>3</v>
      </c>
      <c r="H128" s="8"/>
      <c r="I128" s="8"/>
      <c r="J128" s="8"/>
      <c r="K128" s="8"/>
      <c r="L128" s="8"/>
    </row>
    <row r="129" spans="1:12" ht="14.5">
      <c r="A129" s="6">
        <f t="shared" si="0"/>
        <v>128</v>
      </c>
      <c r="B129" s="7">
        <f t="shared" si="6"/>
        <v>45890</v>
      </c>
      <c r="C129" s="6">
        <f t="shared" si="9"/>
        <v>5</v>
      </c>
      <c r="D129" s="12">
        <f t="shared" si="10"/>
        <v>26</v>
      </c>
      <c r="E129" s="17">
        <v>230</v>
      </c>
      <c r="F129" s="17">
        <v>950</v>
      </c>
      <c r="G129" s="17">
        <v>15</v>
      </c>
      <c r="H129" s="8"/>
      <c r="I129" s="8"/>
      <c r="J129" s="8"/>
      <c r="K129" s="8"/>
      <c r="L129" s="8"/>
    </row>
    <row r="130" spans="1:12" ht="14.5">
      <c r="A130" s="6">
        <f t="shared" si="0"/>
        <v>129</v>
      </c>
      <c r="B130" s="7">
        <f t="shared" si="6"/>
        <v>45891</v>
      </c>
      <c r="C130" s="6">
        <f t="shared" si="9"/>
        <v>6</v>
      </c>
      <c r="D130" s="12">
        <f t="shared" si="10"/>
        <v>25</v>
      </c>
      <c r="E130" s="17">
        <v>0</v>
      </c>
      <c r="F130" s="17">
        <v>0</v>
      </c>
      <c r="G130" s="17">
        <v>2</v>
      </c>
      <c r="H130" s="8"/>
      <c r="I130" s="8"/>
      <c r="J130" s="8"/>
      <c r="K130" s="8"/>
      <c r="L130" s="8"/>
    </row>
    <row r="131" spans="1:12" ht="14.5">
      <c r="A131" s="6">
        <f t="shared" si="0"/>
        <v>130</v>
      </c>
      <c r="B131" s="7">
        <f t="shared" si="6"/>
        <v>45892</v>
      </c>
      <c r="C131" s="6">
        <f t="shared" si="9"/>
        <v>7</v>
      </c>
      <c r="D131" s="12">
        <f t="shared" si="10"/>
        <v>24</v>
      </c>
      <c r="E131" s="17">
        <v>70</v>
      </c>
      <c r="F131" s="17">
        <v>856</v>
      </c>
      <c r="G131" s="17">
        <v>0</v>
      </c>
      <c r="H131" s="8"/>
      <c r="I131" s="8"/>
      <c r="J131" s="8"/>
      <c r="K131" s="8"/>
      <c r="L131" s="8"/>
    </row>
    <row r="132" spans="1:12" ht="14.5">
      <c r="A132" s="6">
        <f t="shared" si="0"/>
        <v>131</v>
      </c>
      <c r="B132" s="7">
        <f t="shared" si="6"/>
        <v>45893</v>
      </c>
      <c r="C132" s="6">
        <f t="shared" si="9"/>
        <v>8</v>
      </c>
      <c r="D132" s="12">
        <f t="shared" si="10"/>
        <v>23</v>
      </c>
      <c r="E132" s="17">
        <v>61</v>
      </c>
      <c r="F132" s="17">
        <v>549</v>
      </c>
      <c r="G132" s="17">
        <v>0</v>
      </c>
      <c r="H132" s="8"/>
      <c r="I132" s="8"/>
      <c r="J132" s="8"/>
      <c r="K132" s="8"/>
      <c r="L132" s="8"/>
    </row>
    <row r="133" spans="1:12" ht="14.5">
      <c r="A133" s="6">
        <f t="shared" si="0"/>
        <v>132</v>
      </c>
      <c r="B133" s="7">
        <f t="shared" si="6"/>
        <v>45894</v>
      </c>
      <c r="C133" s="6">
        <f t="shared" si="9"/>
        <v>9</v>
      </c>
      <c r="D133" s="12">
        <f t="shared" si="10"/>
        <v>22</v>
      </c>
      <c r="E133" s="17">
        <v>9</v>
      </c>
      <c r="F133" s="17">
        <v>852</v>
      </c>
      <c r="G133" s="17">
        <v>0</v>
      </c>
      <c r="H133" s="8"/>
      <c r="I133" s="8"/>
      <c r="J133" s="8"/>
      <c r="K133" s="8"/>
      <c r="L133" s="8"/>
    </row>
    <row r="134" spans="1:12" ht="14.5">
      <c r="A134" s="6">
        <f t="shared" si="0"/>
        <v>133</v>
      </c>
      <c r="B134" s="7">
        <f t="shared" si="6"/>
        <v>45895</v>
      </c>
      <c r="C134" s="6">
        <f t="shared" si="9"/>
        <v>10</v>
      </c>
      <c r="D134" s="12">
        <f t="shared" si="10"/>
        <v>21</v>
      </c>
      <c r="E134" s="17">
        <v>17</v>
      </c>
      <c r="F134" s="17">
        <v>90</v>
      </c>
      <c r="G134" s="17">
        <v>0</v>
      </c>
      <c r="H134" s="8"/>
      <c r="I134" s="8"/>
      <c r="J134" s="8"/>
      <c r="K134" s="8"/>
      <c r="L134" s="8"/>
    </row>
    <row r="135" spans="1:12" ht="14.5">
      <c r="A135" s="6">
        <f t="shared" si="0"/>
        <v>134</v>
      </c>
      <c r="B135" s="7">
        <f t="shared" si="6"/>
        <v>45896</v>
      </c>
      <c r="C135" s="6">
        <f t="shared" si="9"/>
        <v>11</v>
      </c>
      <c r="D135" s="12">
        <f t="shared" si="10"/>
        <v>20</v>
      </c>
      <c r="E135" s="17">
        <v>67</v>
      </c>
      <c r="F135" s="17">
        <v>67</v>
      </c>
      <c r="G135" s="17">
        <v>0</v>
      </c>
    </row>
    <row r="136" spans="1:12" ht="14.5">
      <c r="A136" s="6">
        <f t="shared" si="0"/>
        <v>135</v>
      </c>
      <c r="B136" s="7">
        <f t="shared" si="6"/>
        <v>45897</v>
      </c>
      <c r="C136" s="6">
        <f t="shared" si="9"/>
        <v>12</v>
      </c>
      <c r="D136" s="12">
        <f t="shared" si="10"/>
        <v>19</v>
      </c>
      <c r="E136" s="17">
        <v>379</v>
      </c>
      <c r="F136" s="17">
        <v>97</v>
      </c>
      <c r="G136" s="17">
        <v>6</v>
      </c>
    </row>
    <row r="137" spans="1:12" ht="14.5">
      <c r="A137" s="6">
        <f t="shared" si="0"/>
        <v>136</v>
      </c>
      <c r="B137" s="7">
        <f t="shared" si="6"/>
        <v>45898</v>
      </c>
      <c r="C137" s="6">
        <f t="shared" si="9"/>
        <v>13</v>
      </c>
      <c r="D137" s="12">
        <f t="shared" si="10"/>
        <v>18</v>
      </c>
      <c r="E137" s="17">
        <v>12</v>
      </c>
      <c r="F137" s="17">
        <v>12</v>
      </c>
      <c r="G137" s="17">
        <v>1</v>
      </c>
    </row>
    <row r="138" spans="1:12" ht="14.5">
      <c r="A138" s="6">
        <f t="shared" si="0"/>
        <v>137</v>
      </c>
      <c r="B138" s="7">
        <f t="shared" si="6"/>
        <v>45899</v>
      </c>
      <c r="C138" s="6">
        <f t="shared" si="9"/>
        <v>14</v>
      </c>
      <c r="D138" s="12">
        <f t="shared" si="10"/>
        <v>17</v>
      </c>
      <c r="E138" s="17">
        <v>29</v>
      </c>
      <c r="F138" s="17">
        <v>0</v>
      </c>
      <c r="G138" s="17">
        <v>0</v>
      </c>
    </row>
    <row r="139" spans="1:12" ht="14.5">
      <c r="A139" s="6">
        <f t="shared" si="0"/>
        <v>138</v>
      </c>
      <c r="B139" s="7">
        <f t="shared" si="6"/>
        <v>45900</v>
      </c>
      <c r="C139" s="6">
        <f t="shared" si="9"/>
        <v>15</v>
      </c>
      <c r="D139" s="12">
        <f t="shared" si="10"/>
        <v>16</v>
      </c>
      <c r="E139" s="17">
        <v>75</v>
      </c>
      <c r="F139" s="17">
        <v>21</v>
      </c>
      <c r="G139" s="17">
        <v>0</v>
      </c>
    </row>
    <row r="140" spans="1:12" ht="14.5">
      <c r="A140" s="6">
        <f t="shared" si="0"/>
        <v>139</v>
      </c>
      <c r="B140" s="7">
        <f t="shared" si="6"/>
        <v>45901</v>
      </c>
      <c r="C140" s="6">
        <f t="shared" si="9"/>
        <v>16</v>
      </c>
      <c r="D140" s="12">
        <f t="shared" si="10"/>
        <v>15</v>
      </c>
      <c r="E140" s="17">
        <v>270</v>
      </c>
      <c r="F140" s="17">
        <v>114</v>
      </c>
      <c r="G140" s="17">
        <v>0</v>
      </c>
    </row>
    <row r="141" spans="1:12" ht="14.5">
      <c r="A141" s="6">
        <f t="shared" si="0"/>
        <v>140</v>
      </c>
      <c r="B141" s="7">
        <f t="shared" si="6"/>
        <v>45902</v>
      </c>
      <c r="C141" s="6">
        <f t="shared" si="9"/>
        <v>17</v>
      </c>
      <c r="D141" s="12">
        <f t="shared" si="10"/>
        <v>14</v>
      </c>
      <c r="E141" s="17">
        <v>0</v>
      </c>
      <c r="F141" s="17">
        <v>0</v>
      </c>
      <c r="G141" s="17">
        <v>0</v>
      </c>
    </row>
    <row r="142" spans="1:12" ht="14.5">
      <c r="A142" s="6">
        <f t="shared" si="0"/>
        <v>141</v>
      </c>
      <c r="B142" s="7">
        <f t="shared" si="6"/>
        <v>45903</v>
      </c>
      <c r="C142" s="6">
        <f t="shared" si="9"/>
        <v>18</v>
      </c>
      <c r="D142" s="12">
        <f t="shared" si="10"/>
        <v>13</v>
      </c>
      <c r="E142" s="17">
        <v>9</v>
      </c>
      <c r="F142" s="17">
        <v>0</v>
      </c>
      <c r="G142" s="17">
        <v>0</v>
      </c>
    </row>
    <row r="143" spans="1:12" ht="14.5">
      <c r="A143" s="6">
        <f t="shared" si="0"/>
        <v>142</v>
      </c>
      <c r="B143" s="7">
        <f t="shared" si="6"/>
        <v>45904</v>
      </c>
      <c r="C143" s="6">
        <f t="shared" si="9"/>
        <v>19</v>
      </c>
      <c r="D143" s="12">
        <f t="shared" si="10"/>
        <v>12</v>
      </c>
      <c r="E143" s="17">
        <v>9</v>
      </c>
      <c r="F143" s="17">
        <v>0</v>
      </c>
      <c r="G143" s="17">
        <v>0</v>
      </c>
    </row>
    <row r="144" spans="1:12" ht="14.5">
      <c r="A144" s="6">
        <f t="shared" si="0"/>
        <v>143</v>
      </c>
      <c r="B144" s="7">
        <f t="shared" si="6"/>
        <v>45905</v>
      </c>
      <c r="C144" s="6">
        <f t="shared" si="9"/>
        <v>20</v>
      </c>
      <c r="D144" s="12">
        <f t="shared" si="10"/>
        <v>11</v>
      </c>
      <c r="E144" s="17">
        <v>0</v>
      </c>
      <c r="F144" s="17">
        <v>0</v>
      </c>
      <c r="G144" s="17">
        <v>0</v>
      </c>
    </row>
    <row r="145" spans="1:7" ht="14.5">
      <c r="A145" s="6">
        <f t="shared" si="0"/>
        <v>144</v>
      </c>
      <c r="B145" s="7">
        <f t="shared" si="6"/>
        <v>45906</v>
      </c>
      <c r="C145" s="6">
        <f t="shared" si="9"/>
        <v>21</v>
      </c>
      <c r="D145" s="12">
        <f t="shared" si="10"/>
        <v>10</v>
      </c>
      <c r="E145" s="17">
        <v>0</v>
      </c>
      <c r="F145" s="17">
        <v>531</v>
      </c>
      <c r="G145" s="17">
        <v>0</v>
      </c>
    </row>
    <row r="146" spans="1:7" ht="14.5">
      <c r="A146" s="6">
        <f t="shared" si="0"/>
        <v>145</v>
      </c>
      <c r="B146" s="7">
        <f t="shared" si="6"/>
        <v>45907</v>
      </c>
      <c r="C146" s="6">
        <f t="shared" si="9"/>
        <v>22</v>
      </c>
      <c r="D146" s="12">
        <f t="shared" si="10"/>
        <v>9</v>
      </c>
      <c r="E146" s="17">
        <v>0</v>
      </c>
      <c r="F146" s="17">
        <v>5483</v>
      </c>
      <c r="G146" s="17">
        <v>0</v>
      </c>
    </row>
    <row r="147" spans="1:7" ht="14.5">
      <c r="A147" s="6">
        <f t="shared" si="0"/>
        <v>146</v>
      </c>
      <c r="B147" s="7">
        <f t="shared" si="6"/>
        <v>45908</v>
      </c>
      <c r="C147" s="6">
        <f t="shared" si="9"/>
        <v>23</v>
      </c>
      <c r="D147" s="12">
        <f t="shared" si="10"/>
        <v>8</v>
      </c>
      <c r="E147" s="17">
        <v>0</v>
      </c>
      <c r="F147" s="17">
        <v>1062</v>
      </c>
      <c r="G147" s="17">
        <v>0</v>
      </c>
    </row>
    <row r="148" spans="1:7" ht="14.5">
      <c r="A148" s="6">
        <f t="shared" si="0"/>
        <v>147</v>
      </c>
      <c r="B148" s="7">
        <f t="shared" si="6"/>
        <v>45909</v>
      </c>
      <c r="C148" s="6">
        <f t="shared" si="9"/>
        <v>24</v>
      </c>
      <c r="D148" s="12">
        <f t="shared" si="10"/>
        <v>7</v>
      </c>
      <c r="E148" s="17">
        <v>0</v>
      </c>
      <c r="F148" s="17">
        <v>516</v>
      </c>
      <c r="G148" s="17">
        <v>0</v>
      </c>
    </row>
    <row r="149" spans="1:7" ht="14.5">
      <c r="A149" s="6">
        <f t="shared" si="0"/>
        <v>148</v>
      </c>
      <c r="B149" s="7">
        <f t="shared" si="6"/>
        <v>45910</v>
      </c>
      <c r="C149" s="6">
        <f t="shared" si="9"/>
        <v>25</v>
      </c>
      <c r="D149" s="12">
        <f t="shared" si="10"/>
        <v>6</v>
      </c>
      <c r="E149" s="17">
        <v>0</v>
      </c>
      <c r="F149" s="17">
        <v>1220</v>
      </c>
      <c r="G149" s="17">
        <v>0</v>
      </c>
    </row>
    <row r="150" spans="1:7" ht="14.5">
      <c r="A150" s="6">
        <f t="shared" si="0"/>
        <v>149</v>
      </c>
      <c r="B150" s="7">
        <f t="shared" si="6"/>
        <v>45911</v>
      </c>
      <c r="C150" s="6">
        <f t="shared" si="9"/>
        <v>26</v>
      </c>
      <c r="D150" s="12">
        <f t="shared" si="10"/>
        <v>5</v>
      </c>
      <c r="E150" s="17">
        <v>0</v>
      </c>
      <c r="F150" s="17">
        <v>1711</v>
      </c>
      <c r="G150" s="17">
        <v>0</v>
      </c>
    </row>
    <row r="151" spans="1:7" ht="14.5">
      <c r="A151" s="6">
        <f t="shared" si="0"/>
        <v>150</v>
      </c>
      <c r="B151" s="7">
        <f t="shared" si="6"/>
        <v>45912</v>
      </c>
      <c r="C151" s="6">
        <f t="shared" si="9"/>
        <v>27</v>
      </c>
      <c r="D151" s="12">
        <f t="shared" si="10"/>
        <v>4</v>
      </c>
      <c r="E151" s="17">
        <v>0</v>
      </c>
      <c r="F151" s="17">
        <v>0</v>
      </c>
      <c r="G151" s="17">
        <v>0</v>
      </c>
    </row>
    <row r="152" spans="1:7" ht="14.5">
      <c r="A152" s="6">
        <f t="shared" si="0"/>
        <v>151</v>
      </c>
      <c r="B152" s="7">
        <f t="shared" si="6"/>
        <v>45913</v>
      </c>
      <c r="C152" s="6">
        <f t="shared" si="9"/>
        <v>28</v>
      </c>
      <c r="D152" s="12">
        <f t="shared" si="10"/>
        <v>3</v>
      </c>
      <c r="E152" s="17">
        <v>0</v>
      </c>
      <c r="F152" s="17">
        <v>11557</v>
      </c>
      <c r="G152" s="17">
        <v>2</v>
      </c>
    </row>
    <row r="153" spans="1:7" ht="14.5">
      <c r="A153" s="6">
        <f t="shared" si="0"/>
        <v>152</v>
      </c>
      <c r="B153" s="7">
        <f t="shared" si="6"/>
        <v>45914</v>
      </c>
      <c r="C153" s="6">
        <f t="shared" si="9"/>
        <v>29</v>
      </c>
      <c r="D153" s="12">
        <f t="shared" si="10"/>
        <v>2</v>
      </c>
      <c r="E153" s="17">
        <v>0</v>
      </c>
      <c r="F153" s="17">
        <v>4081</v>
      </c>
      <c r="G153" s="17">
        <v>2</v>
      </c>
    </row>
    <row r="154" spans="1:7" ht="14.5">
      <c r="A154" s="6">
        <f t="shared" si="0"/>
        <v>153</v>
      </c>
      <c r="B154" s="7">
        <f t="shared" si="6"/>
        <v>45915</v>
      </c>
      <c r="C154" s="6">
        <f t="shared" si="9"/>
        <v>30</v>
      </c>
      <c r="D154" s="12">
        <f t="shared" si="10"/>
        <v>1</v>
      </c>
      <c r="E154" s="17">
        <v>0</v>
      </c>
      <c r="F154" s="17">
        <v>2</v>
      </c>
      <c r="G154" s="17">
        <v>4</v>
      </c>
    </row>
    <row r="155" spans="1:7" ht="14.5">
      <c r="A155" s="6">
        <f t="shared" si="0"/>
        <v>154</v>
      </c>
      <c r="B155" s="7">
        <f t="shared" si="6"/>
        <v>45916</v>
      </c>
      <c r="C155" s="6">
        <f t="shared" si="9"/>
        <v>31</v>
      </c>
      <c r="D155" s="12">
        <f t="shared" si="10"/>
        <v>0</v>
      </c>
      <c r="E155" s="17">
        <v>0</v>
      </c>
      <c r="F155" s="17">
        <v>5768</v>
      </c>
      <c r="G155" s="17">
        <v>0</v>
      </c>
    </row>
    <row r="156" spans="1:7" ht="14.5">
      <c r="A156" s="6">
        <f t="shared" si="0"/>
        <v>155</v>
      </c>
      <c r="B156" s="7">
        <f t="shared" si="6"/>
        <v>45917</v>
      </c>
      <c r="C156" s="6">
        <v>1</v>
      </c>
      <c r="D156" s="12">
        <v>30</v>
      </c>
      <c r="E156" s="17">
        <v>0</v>
      </c>
      <c r="F156" s="17">
        <v>793</v>
      </c>
      <c r="G156" s="17">
        <v>0</v>
      </c>
    </row>
    <row r="157" spans="1:7" ht="14.5">
      <c r="A157" s="6">
        <f t="shared" si="0"/>
        <v>156</v>
      </c>
      <c r="B157" s="7">
        <f t="shared" si="6"/>
        <v>45918</v>
      </c>
      <c r="C157" s="6">
        <f t="shared" si="9"/>
        <v>2</v>
      </c>
      <c r="D157" s="12">
        <f t="shared" si="10"/>
        <v>29</v>
      </c>
      <c r="E157" s="17">
        <v>3561</v>
      </c>
      <c r="F157" s="17">
        <v>2187</v>
      </c>
      <c r="G157" s="17">
        <v>0</v>
      </c>
    </row>
    <row r="158" spans="1:7" ht="14.5">
      <c r="A158" s="6">
        <f t="shared" si="0"/>
        <v>157</v>
      </c>
      <c r="B158" s="7">
        <f t="shared" si="6"/>
        <v>45919</v>
      </c>
      <c r="C158" s="6">
        <f t="shared" si="9"/>
        <v>3</v>
      </c>
      <c r="D158" s="12">
        <f t="shared" si="10"/>
        <v>28</v>
      </c>
      <c r="E158" s="17">
        <v>224</v>
      </c>
      <c r="F158" s="17">
        <v>232</v>
      </c>
      <c r="G158" s="17">
        <v>0</v>
      </c>
    </row>
    <row r="159" spans="1:7" ht="14.5">
      <c r="A159" s="6">
        <f t="shared" si="0"/>
        <v>158</v>
      </c>
      <c r="B159" s="7">
        <f t="shared" si="6"/>
        <v>45920</v>
      </c>
      <c r="C159" s="6">
        <f t="shared" si="9"/>
        <v>4</v>
      </c>
      <c r="D159" s="12">
        <f t="shared" si="10"/>
        <v>27</v>
      </c>
      <c r="E159" s="30">
        <v>735</v>
      </c>
      <c r="F159" s="17">
        <v>744</v>
      </c>
      <c r="G159" s="17">
        <v>0</v>
      </c>
    </row>
    <row r="160" spans="1:7" ht="14.5">
      <c r="A160" s="6">
        <f t="shared" si="0"/>
        <v>159</v>
      </c>
      <c r="B160" s="7">
        <f t="shared" si="6"/>
        <v>45921</v>
      </c>
      <c r="C160" s="6">
        <f t="shared" si="9"/>
        <v>5</v>
      </c>
      <c r="D160" s="12">
        <f t="shared" si="10"/>
        <v>26</v>
      </c>
      <c r="E160" s="30">
        <v>2059</v>
      </c>
      <c r="F160" s="17">
        <v>2059</v>
      </c>
      <c r="G160" s="17">
        <v>1</v>
      </c>
    </row>
    <row r="161" spans="1:7" ht="14.5">
      <c r="A161" s="6">
        <f t="shared" si="0"/>
        <v>160</v>
      </c>
      <c r="B161" s="7">
        <f t="shared" si="6"/>
        <v>45922</v>
      </c>
      <c r="C161" s="6">
        <f t="shared" si="9"/>
        <v>6</v>
      </c>
      <c r="D161" s="12">
        <f t="shared" si="10"/>
        <v>25</v>
      </c>
      <c r="E161" s="30">
        <v>1176</v>
      </c>
      <c r="F161" s="17">
        <v>1055</v>
      </c>
      <c r="G161" s="17">
        <v>0</v>
      </c>
    </row>
    <row r="162" spans="1:7" ht="14.5">
      <c r="A162" s="6">
        <f t="shared" si="0"/>
        <v>161</v>
      </c>
      <c r="B162" s="7">
        <f t="shared" si="6"/>
        <v>45923</v>
      </c>
      <c r="C162" s="6">
        <f t="shared" si="9"/>
        <v>7</v>
      </c>
      <c r="D162" s="12">
        <f t="shared" si="10"/>
        <v>24</v>
      </c>
      <c r="E162" s="30">
        <v>4813</v>
      </c>
      <c r="F162" s="17">
        <v>4219</v>
      </c>
      <c r="G162" s="17">
        <v>0</v>
      </c>
    </row>
    <row r="163" spans="1:7" ht="14.5">
      <c r="A163" s="6">
        <f t="shared" si="0"/>
        <v>162</v>
      </c>
      <c r="B163" s="7">
        <f t="shared" si="6"/>
        <v>45924</v>
      </c>
      <c r="C163" s="6">
        <f t="shared" si="9"/>
        <v>8</v>
      </c>
      <c r="D163" s="12">
        <f t="shared" si="10"/>
        <v>23</v>
      </c>
      <c r="E163" s="30">
        <v>0</v>
      </c>
      <c r="F163" s="17">
        <v>0</v>
      </c>
      <c r="G163" s="17">
        <v>0</v>
      </c>
    </row>
    <row r="164" spans="1:7" ht="14.5">
      <c r="A164" s="6">
        <f t="shared" si="0"/>
        <v>163</v>
      </c>
      <c r="B164" s="7">
        <f t="shared" si="6"/>
        <v>45925</v>
      </c>
      <c r="C164" s="6">
        <f t="shared" si="9"/>
        <v>9</v>
      </c>
      <c r="D164" s="12">
        <f t="shared" si="10"/>
        <v>22</v>
      </c>
      <c r="E164" s="30">
        <v>397</v>
      </c>
      <c r="F164" s="17">
        <v>415</v>
      </c>
      <c r="G164" s="17">
        <v>0</v>
      </c>
    </row>
    <row r="165" spans="1:7" ht="14.5">
      <c r="A165" s="6">
        <f t="shared" si="0"/>
        <v>164</v>
      </c>
      <c r="B165" s="7">
        <f t="shared" si="6"/>
        <v>45926</v>
      </c>
      <c r="C165" s="6">
        <f t="shared" si="9"/>
        <v>10</v>
      </c>
      <c r="D165" s="12">
        <f t="shared" si="10"/>
        <v>21</v>
      </c>
      <c r="E165" s="30">
        <v>0</v>
      </c>
      <c r="F165" s="17">
        <v>0</v>
      </c>
      <c r="G165" s="17">
        <v>0</v>
      </c>
    </row>
    <row r="166" spans="1:7" ht="14.5">
      <c r="A166" s="6">
        <f t="shared" si="0"/>
        <v>165</v>
      </c>
      <c r="B166" s="7">
        <f t="shared" si="6"/>
        <v>45927</v>
      </c>
      <c r="C166" s="6">
        <f t="shared" si="9"/>
        <v>11</v>
      </c>
      <c r="D166" s="12">
        <f t="shared" si="10"/>
        <v>20</v>
      </c>
      <c r="E166" s="30">
        <v>0</v>
      </c>
      <c r="F166" s="17">
        <v>0</v>
      </c>
      <c r="G166" s="17">
        <v>0</v>
      </c>
    </row>
    <row r="167" spans="1:7" ht="14.5">
      <c r="A167" s="6">
        <f t="shared" si="0"/>
        <v>166</v>
      </c>
      <c r="B167" s="7">
        <f t="shared" si="6"/>
        <v>45928</v>
      </c>
      <c r="C167" s="6">
        <f t="shared" si="9"/>
        <v>12</v>
      </c>
      <c r="D167" s="12">
        <f t="shared" si="10"/>
        <v>19</v>
      </c>
      <c r="E167" s="30">
        <v>1521</v>
      </c>
      <c r="F167" s="17">
        <v>992</v>
      </c>
      <c r="G167" s="17">
        <v>0</v>
      </c>
    </row>
    <row r="168" spans="1:7" ht="14.5">
      <c r="A168" s="6">
        <f t="shared" si="0"/>
        <v>167</v>
      </c>
      <c r="B168" s="7">
        <f t="shared" si="6"/>
        <v>45929</v>
      </c>
      <c r="C168" s="6">
        <f t="shared" si="9"/>
        <v>13</v>
      </c>
      <c r="D168" s="12">
        <f t="shared" si="10"/>
        <v>18</v>
      </c>
      <c r="E168" s="30">
        <v>49</v>
      </c>
      <c r="F168" s="17">
        <v>0</v>
      </c>
      <c r="G168" s="17">
        <v>0</v>
      </c>
    </row>
    <row r="169" spans="1:7" ht="14.5">
      <c r="A169" s="6">
        <f t="shared" si="0"/>
        <v>168</v>
      </c>
      <c r="B169" s="7">
        <f t="shared" si="6"/>
        <v>45930</v>
      </c>
      <c r="C169" s="6">
        <f t="shared" si="9"/>
        <v>14</v>
      </c>
      <c r="D169" s="12">
        <f t="shared" si="10"/>
        <v>17</v>
      </c>
      <c r="E169" s="17">
        <v>273</v>
      </c>
      <c r="F169" s="17">
        <v>0</v>
      </c>
      <c r="G169" s="17">
        <v>0</v>
      </c>
    </row>
    <row r="170" spans="1:7" ht="14.5">
      <c r="A170" s="6">
        <f t="shared" si="0"/>
        <v>169</v>
      </c>
      <c r="B170" s="7">
        <f t="shared" si="6"/>
        <v>45931</v>
      </c>
      <c r="C170" s="6">
        <f t="shared" si="9"/>
        <v>15</v>
      </c>
      <c r="D170" s="12">
        <f t="shared" si="10"/>
        <v>16</v>
      </c>
      <c r="E170" s="17">
        <v>37</v>
      </c>
      <c r="F170" s="17">
        <v>27</v>
      </c>
      <c r="G170" s="17">
        <v>5</v>
      </c>
    </row>
    <row r="171" spans="1:7" ht="14.5">
      <c r="A171" s="6">
        <f t="shared" si="0"/>
        <v>170</v>
      </c>
      <c r="B171" s="7">
        <f t="shared" si="6"/>
        <v>45932</v>
      </c>
      <c r="C171" s="6">
        <f t="shared" si="9"/>
        <v>16</v>
      </c>
      <c r="D171" s="12">
        <f t="shared" si="10"/>
        <v>15</v>
      </c>
      <c r="E171" s="17">
        <v>0</v>
      </c>
      <c r="F171" s="17">
        <v>0</v>
      </c>
      <c r="G171" s="17">
        <v>0</v>
      </c>
    </row>
    <row r="172" spans="1:7" ht="14.5">
      <c r="A172" s="6">
        <f t="shared" si="0"/>
        <v>171</v>
      </c>
      <c r="B172" s="7">
        <f t="shared" si="6"/>
        <v>45933</v>
      </c>
      <c r="C172" s="6">
        <f t="shared" si="9"/>
        <v>17</v>
      </c>
      <c r="D172" s="12">
        <f t="shared" si="10"/>
        <v>14</v>
      </c>
      <c r="E172" s="17">
        <v>0</v>
      </c>
      <c r="F172" s="17">
        <v>0</v>
      </c>
      <c r="G172" s="17">
        <v>0</v>
      </c>
    </row>
    <row r="173" spans="1:7" ht="14.5">
      <c r="A173" s="6">
        <f t="shared" si="0"/>
        <v>172</v>
      </c>
      <c r="B173" s="7">
        <f t="shared" si="6"/>
        <v>45934</v>
      </c>
      <c r="C173" s="6">
        <f t="shared" si="9"/>
        <v>18</v>
      </c>
      <c r="D173" s="12">
        <f t="shared" si="10"/>
        <v>13</v>
      </c>
      <c r="E173" s="17">
        <v>266</v>
      </c>
      <c r="F173" s="17">
        <v>72</v>
      </c>
      <c r="G173" s="17">
        <v>0</v>
      </c>
    </row>
    <row r="174" spans="1:7" ht="14.5">
      <c r="A174" s="6">
        <f t="shared" si="0"/>
        <v>173</v>
      </c>
      <c r="B174" s="7">
        <f t="shared" si="6"/>
        <v>45935</v>
      </c>
      <c r="C174" s="6">
        <f t="shared" si="9"/>
        <v>19</v>
      </c>
      <c r="D174" s="12">
        <f t="shared" si="10"/>
        <v>12</v>
      </c>
      <c r="E174" s="17">
        <v>3351</v>
      </c>
      <c r="F174" s="17">
        <v>0</v>
      </c>
      <c r="G174" s="17">
        <v>0</v>
      </c>
    </row>
    <row r="175" spans="1:7" ht="14.5">
      <c r="A175" s="6">
        <f t="shared" si="0"/>
        <v>174</v>
      </c>
      <c r="B175" s="7">
        <f t="shared" si="6"/>
        <v>45936</v>
      </c>
      <c r="C175" s="6">
        <f t="shared" si="9"/>
        <v>20</v>
      </c>
      <c r="D175" s="12">
        <f t="shared" si="10"/>
        <v>11</v>
      </c>
      <c r="E175" s="17">
        <v>1227</v>
      </c>
      <c r="F175" s="17">
        <v>0</v>
      </c>
      <c r="G175" s="17">
        <v>0</v>
      </c>
    </row>
    <row r="176" spans="1:7" ht="14.5">
      <c r="A176" s="6">
        <f t="shared" si="0"/>
        <v>175</v>
      </c>
      <c r="B176" s="7">
        <f t="shared" si="6"/>
        <v>45937</v>
      </c>
      <c r="C176" s="6">
        <f t="shared" si="9"/>
        <v>21</v>
      </c>
      <c r="D176" s="12">
        <f t="shared" si="10"/>
        <v>10</v>
      </c>
      <c r="E176" s="17">
        <v>5198</v>
      </c>
      <c r="F176" s="17">
        <v>9</v>
      </c>
      <c r="G176" s="17">
        <v>0</v>
      </c>
    </row>
    <row r="177" spans="1:7" ht="14.5">
      <c r="A177" s="6">
        <f t="shared" si="0"/>
        <v>176</v>
      </c>
      <c r="B177" s="7">
        <f t="shared" si="6"/>
        <v>45938</v>
      </c>
      <c r="C177" s="6">
        <f t="shared" si="9"/>
        <v>22</v>
      </c>
      <c r="D177" s="12">
        <f t="shared" si="10"/>
        <v>9</v>
      </c>
      <c r="E177" s="17">
        <v>70</v>
      </c>
      <c r="F177" s="17">
        <v>10</v>
      </c>
      <c r="G177" s="17">
        <v>1</v>
      </c>
    </row>
    <row r="178" spans="1:7" ht="14.5">
      <c r="A178" s="6">
        <f t="shared" si="0"/>
        <v>177</v>
      </c>
      <c r="B178" s="7">
        <f t="shared" si="6"/>
        <v>45939</v>
      </c>
      <c r="C178" s="6">
        <f t="shared" si="9"/>
        <v>23</v>
      </c>
      <c r="D178" s="12">
        <f t="shared" si="10"/>
        <v>8</v>
      </c>
      <c r="E178" s="17">
        <v>93</v>
      </c>
      <c r="F178" s="17">
        <v>0</v>
      </c>
      <c r="G178" s="17">
        <v>0</v>
      </c>
    </row>
    <row r="179" spans="1:7" ht="14.5">
      <c r="A179" s="6">
        <f t="shared" si="0"/>
        <v>178</v>
      </c>
      <c r="B179" s="7">
        <f t="shared" si="6"/>
        <v>45940</v>
      </c>
      <c r="C179" s="6">
        <f t="shared" si="9"/>
        <v>24</v>
      </c>
      <c r="D179" s="12">
        <f t="shared" si="10"/>
        <v>7</v>
      </c>
      <c r="E179" s="17">
        <v>367</v>
      </c>
      <c r="F179" s="17">
        <v>86</v>
      </c>
      <c r="G179" s="17">
        <v>0</v>
      </c>
    </row>
    <row r="180" spans="1:7" ht="14.5">
      <c r="A180" s="6">
        <f t="shared" si="0"/>
        <v>179</v>
      </c>
      <c r="B180" s="7">
        <f t="shared" si="6"/>
        <v>45941</v>
      </c>
      <c r="C180" s="6">
        <f t="shared" si="9"/>
        <v>25</v>
      </c>
      <c r="D180" s="12">
        <f t="shared" si="10"/>
        <v>6</v>
      </c>
      <c r="E180" s="17">
        <v>10</v>
      </c>
      <c r="F180" s="17">
        <v>9</v>
      </c>
      <c r="G180" s="17">
        <v>4</v>
      </c>
    </row>
    <row r="181" spans="1:7" ht="14.5">
      <c r="A181" s="6">
        <f t="shared" si="0"/>
        <v>180</v>
      </c>
      <c r="B181" s="7">
        <f t="shared" si="6"/>
        <v>45942</v>
      </c>
      <c r="C181" s="6">
        <f t="shared" si="9"/>
        <v>26</v>
      </c>
      <c r="D181" s="12">
        <f t="shared" si="10"/>
        <v>5</v>
      </c>
      <c r="E181" s="17">
        <v>5461</v>
      </c>
      <c r="F181" s="17">
        <v>0</v>
      </c>
      <c r="G181" s="17">
        <v>0</v>
      </c>
    </row>
    <row r="182" spans="1:7" ht="14.5">
      <c r="A182" s="6">
        <f t="shared" si="0"/>
        <v>181</v>
      </c>
      <c r="B182" s="7">
        <f t="shared" si="6"/>
        <v>45943</v>
      </c>
      <c r="C182" s="6">
        <f t="shared" si="9"/>
        <v>27</v>
      </c>
      <c r="D182" s="12">
        <f t="shared" si="10"/>
        <v>4</v>
      </c>
      <c r="E182" s="17">
        <v>9492</v>
      </c>
      <c r="F182" s="17">
        <v>883</v>
      </c>
      <c r="G182" s="17">
        <v>0</v>
      </c>
    </row>
    <row r="183" spans="1:7" ht="14.5">
      <c r="A183" s="6">
        <f t="shared" si="0"/>
        <v>182</v>
      </c>
      <c r="B183" s="7">
        <f t="shared" si="6"/>
        <v>45944</v>
      </c>
      <c r="C183" s="6">
        <f t="shared" si="9"/>
        <v>28</v>
      </c>
      <c r="D183" s="12">
        <f t="shared" si="10"/>
        <v>3</v>
      </c>
      <c r="E183" s="17">
        <v>95</v>
      </c>
      <c r="F183" s="17">
        <v>2</v>
      </c>
      <c r="G183" s="17">
        <v>0</v>
      </c>
    </row>
    <row r="184" spans="1:7" ht="14.5">
      <c r="A184" s="6">
        <f t="shared" si="0"/>
        <v>183</v>
      </c>
      <c r="B184" s="7">
        <f t="shared" si="6"/>
        <v>45945</v>
      </c>
      <c r="C184" s="6">
        <f t="shared" si="9"/>
        <v>29</v>
      </c>
      <c r="D184" s="12">
        <f t="shared" si="10"/>
        <v>2</v>
      </c>
      <c r="E184" s="17">
        <v>0</v>
      </c>
      <c r="F184" s="17">
        <v>0</v>
      </c>
      <c r="G184" s="17">
        <v>0</v>
      </c>
    </row>
    <row r="185" spans="1:7" ht="14.5">
      <c r="A185" s="6">
        <f t="shared" si="0"/>
        <v>184</v>
      </c>
      <c r="B185" s="7">
        <f t="shared" si="6"/>
        <v>45946</v>
      </c>
      <c r="C185" s="6">
        <f t="shared" si="9"/>
        <v>30</v>
      </c>
      <c r="D185" s="12">
        <f t="shared" si="10"/>
        <v>1</v>
      </c>
      <c r="E185" s="17">
        <v>0</v>
      </c>
      <c r="F185" s="17">
        <v>0</v>
      </c>
      <c r="G185" s="17">
        <v>0</v>
      </c>
    </row>
    <row r="186" spans="1:7" ht="14.5">
      <c r="A186" s="6">
        <f t="shared" si="0"/>
        <v>185</v>
      </c>
      <c r="B186" s="7">
        <f t="shared" si="6"/>
        <v>45947</v>
      </c>
      <c r="C186" s="6">
        <v>1</v>
      </c>
      <c r="D186" s="12">
        <v>30</v>
      </c>
      <c r="E186" s="17">
        <v>0</v>
      </c>
      <c r="F186" s="17">
        <v>0</v>
      </c>
      <c r="G186" s="17">
        <v>0</v>
      </c>
    </row>
    <row r="187" spans="1:7" ht="14.5">
      <c r="A187" s="6">
        <f t="shared" si="0"/>
        <v>186</v>
      </c>
      <c r="B187" s="7">
        <f t="shared" si="6"/>
        <v>45948</v>
      </c>
      <c r="C187" s="6">
        <f t="shared" si="9"/>
        <v>2</v>
      </c>
      <c r="D187" s="12">
        <f t="shared" si="10"/>
        <v>29</v>
      </c>
      <c r="E187" s="17">
        <v>2</v>
      </c>
      <c r="F187" s="17">
        <v>0</v>
      </c>
      <c r="G187" s="17">
        <v>0</v>
      </c>
    </row>
    <row r="188" spans="1:7" ht="14.5">
      <c r="A188" s="6">
        <f t="shared" si="0"/>
        <v>187</v>
      </c>
      <c r="B188" s="7">
        <f t="shared" si="6"/>
        <v>45949</v>
      </c>
      <c r="C188" s="6">
        <f t="shared" si="9"/>
        <v>3</v>
      </c>
      <c r="D188" s="12">
        <f t="shared" si="10"/>
        <v>28</v>
      </c>
      <c r="E188" s="17">
        <v>2</v>
      </c>
      <c r="F188" s="17">
        <v>2</v>
      </c>
      <c r="G188" s="17">
        <v>1</v>
      </c>
    </row>
    <row r="189" spans="1:7" ht="14.5">
      <c r="A189" s="6">
        <f t="shared" si="0"/>
        <v>188</v>
      </c>
      <c r="B189" s="7">
        <f t="shared" si="6"/>
        <v>45950</v>
      </c>
      <c r="C189" s="6">
        <f t="shared" si="9"/>
        <v>4</v>
      </c>
      <c r="D189" s="12">
        <f t="shared" si="10"/>
        <v>27</v>
      </c>
      <c r="E189" s="17">
        <v>0</v>
      </c>
      <c r="F189" s="17">
        <v>0</v>
      </c>
      <c r="G189" s="17">
        <v>0</v>
      </c>
    </row>
    <row r="190" spans="1:7" ht="14.5">
      <c r="A190" s="6">
        <f t="shared" si="0"/>
        <v>189</v>
      </c>
      <c r="B190" s="7">
        <f t="shared" si="6"/>
        <v>45951</v>
      </c>
      <c r="C190" s="6">
        <f t="shared" si="9"/>
        <v>5</v>
      </c>
      <c r="D190" s="12">
        <f t="shared" si="10"/>
        <v>26</v>
      </c>
      <c r="E190" s="17">
        <v>0</v>
      </c>
      <c r="F190" s="17">
        <v>0</v>
      </c>
      <c r="G190" s="17">
        <v>0</v>
      </c>
    </row>
    <row r="191" spans="1:7" ht="14.5">
      <c r="A191" s="6">
        <f t="shared" si="0"/>
        <v>190</v>
      </c>
      <c r="B191" s="7">
        <f t="shared" si="6"/>
        <v>45952</v>
      </c>
      <c r="C191" s="6">
        <f t="shared" si="9"/>
        <v>6</v>
      </c>
      <c r="D191" s="12">
        <f t="shared" si="10"/>
        <v>25</v>
      </c>
      <c r="E191" s="17">
        <v>0</v>
      </c>
      <c r="F191" s="17">
        <v>0</v>
      </c>
      <c r="G191" s="17">
        <v>0</v>
      </c>
    </row>
    <row r="192" spans="1:7" ht="14.5">
      <c r="A192" s="6">
        <f t="shared" si="0"/>
        <v>191</v>
      </c>
      <c r="B192" s="7">
        <f t="shared" si="6"/>
        <v>45953</v>
      </c>
      <c r="C192" s="6">
        <f t="shared" si="9"/>
        <v>7</v>
      </c>
      <c r="D192" s="12">
        <f t="shared" si="10"/>
        <v>24</v>
      </c>
      <c r="E192" s="17">
        <v>0</v>
      </c>
      <c r="F192" s="17">
        <v>0</v>
      </c>
      <c r="G192" s="17">
        <v>0</v>
      </c>
    </row>
    <row r="193" spans="1:7" ht="14.5">
      <c r="A193" s="6">
        <f t="shared" si="0"/>
        <v>192</v>
      </c>
      <c r="B193" s="7">
        <f t="shared" si="6"/>
        <v>45954</v>
      </c>
      <c r="C193" s="6">
        <f t="shared" si="9"/>
        <v>8</v>
      </c>
      <c r="D193" s="12">
        <f t="shared" si="10"/>
        <v>23</v>
      </c>
      <c r="E193" s="17">
        <v>0</v>
      </c>
      <c r="F193" s="17">
        <v>0</v>
      </c>
      <c r="G193" s="17">
        <v>5</v>
      </c>
    </row>
    <row r="194" spans="1:7" ht="14.5">
      <c r="A194" s="6">
        <f t="shared" si="0"/>
        <v>193</v>
      </c>
      <c r="B194" s="7">
        <f t="shared" si="6"/>
        <v>45955</v>
      </c>
      <c r="C194" s="6">
        <f t="shared" si="9"/>
        <v>9</v>
      </c>
      <c r="D194" s="12">
        <f t="shared" si="10"/>
        <v>22</v>
      </c>
      <c r="E194" s="17">
        <v>28</v>
      </c>
      <c r="F194" s="17">
        <v>23</v>
      </c>
      <c r="G194" s="17">
        <v>0</v>
      </c>
    </row>
    <row r="195" spans="1:7" ht="14.5">
      <c r="A195" s="6">
        <f t="shared" si="0"/>
        <v>194</v>
      </c>
      <c r="B195" s="7">
        <f t="shared" si="6"/>
        <v>45956</v>
      </c>
      <c r="C195" s="6">
        <f t="shared" si="9"/>
        <v>10</v>
      </c>
      <c r="D195" s="12">
        <f t="shared" si="10"/>
        <v>21</v>
      </c>
      <c r="E195" s="17">
        <v>1045</v>
      </c>
      <c r="F195" s="17">
        <v>82</v>
      </c>
      <c r="G195" s="17">
        <v>9</v>
      </c>
    </row>
    <row r="196" spans="1:7" ht="14.5">
      <c r="A196" s="6">
        <f t="shared" si="0"/>
        <v>195</v>
      </c>
      <c r="B196" s="7">
        <f t="shared" si="6"/>
        <v>45957</v>
      </c>
      <c r="C196" s="6">
        <f t="shared" si="9"/>
        <v>11</v>
      </c>
      <c r="D196" s="12">
        <f t="shared" si="10"/>
        <v>20</v>
      </c>
      <c r="E196" s="17">
        <v>191</v>
      </c>
      <c r="F196" s="17">
        <v>191</v>
      </c>
      <c r="G196" s="17">
        <v>0</v>
      </c>
    </row>
    <row r="197" spans="1:7" ht="14.5">
      <c r="A197" s="6">
        <f t="shared" si="0"/>
        <v>196</v>
      </c>
      <c r="B197" s="7">
        <f t="shared" si="6"/>
        <v>45958</v>
      </c>
      <c r="C197" s="6">
        <f t="shared" si="9"/>
        <v>12</v>
      </c>
      <c r="D197" s="12">
        <f t="shared" si="10"/>
        <v>19</v>
      </c>
      <c r="E197" s="17">
        <v>77</v>
      </c>
      <c r="F197" s="17">
        <v>0</v>
      </c>
      <c r="G197" s="17">
        <v>5</v>
      </c>
    </row>
    <row r="198" spans="1:7" ht="14.5">
      <c r="A198" s="6">
        <f t="shared" si="0"/>
        <v>197</v>
      </c>
      <c r="B198" s="7">
        <f t="shared" si="6"/>
        <v>45959</v>
      </c>
      <c r="C198" s="6">
        <f t="shared" si="9"/>
        <v>13</v>
      </c>
      <c r="D198" s="12">
        <f t="shared" si="10"/>
        <v>18</v>
      </c>
      <c r="E198" s="17">
        <v>0</v>
      </c>
      <c r="F198" s="17">
        <v>0</v>
      </c>
      <c r="G198" s="17">
        <v>0</v>
      </c>
    </row>
    <row r="199" spans="1:7" ht="14.5">
      <c r="A199" s="6">
        <f t="shared" si="0"/>
        <v>198</v>
      </c>
      <c r="B199" s="7">
        <f t="shared" si="6"/>
        <v>45960</v>
      </c>
      <c r="C199" s="6">
        <f t="shared" si="9"/>
        <v>14</v>
      </c>
      <c r="D199" s="12">
        <f t="shared" si="10"/>
        <v>17</v>
      </c>
      <c r="E199" s="17">
        <v>0</v>
      </c>
      <c r="F199" s="17">
        <v>0</v>
      </c>
      <c r="G199" s="17">
        <v>0</v>
      </c>
    </row>
    <row r="200" spans="1:7" ht="14.5">
      <c r="A200" s="6">
        <f t="shared" si="0"/>
        <v>199</v>
      </c>
      <c r="B200" s="7">
        <f t="shared" si="6"/>
        <v>45961</v>
      </c>
      <c r="C200" s="6">
        <f t="shared" si="9"/>
        <v>15</v>
      </c>
      <c r="D200" s="12">
        <f t="shared" si="10"/>
        <v>16</v>
      </c>
      <c r="E200" s="17">
        <v>150</v>
      </c>
      <c r="F200" s="17">
        <v>150</v>
      </c>
      <c r="G200" s="17">
        <v>0</v>
      </c>
    </row>
    <row r="201" spans="1:7" ht="14.5">
      <c r="A201" s="6">
        <f t="shared" si="0"/>
        <v>200</v>
      </c>
      <c r="B201" s="7">
        <f t="shared" si="6"/>
        <v>45962</v>
      </c>
      <c r="C201" s="6">
        <f t="shared" si="9"/>
        <v>16</v>
      </c>
      <c r="D201" s="12">
        <f t="shared" si="10"/>
        <v>15</v>
      </c>
      <c r="E201" s="17">
        <v>274</v>
      </c>
      <c r="F201" s="17">
        <v>274</v>
      </c>
      <c r="G201" s="17">
        <v>0</v>
      </c>
    </row>
    <row r="202" spans="1:7" ht="14.5">
      <c r="A202" s="6">
        <f t="shared" si="0"/>
        <v>201</v>
      </c>
      <c r="B202" s="7">
        <f t="shared" si="6"/>
        <v>45963</v>
      </c>
      <c r="C202" s="6">
        <f t="shared" si="9"/>
        <v>17</v>
      </c>
      <c r="D202" s="12">
        <f t="shared" si="10"/>
        <v>14</v>
      </c>
      <c r="E202" s="17">
        <v>165</v>
      </c>
      <c r="F202" s="17">
        <v>164</v>
      </c>
      <c r="G202" s="17">
        <v>0</v>
      </c>
    </row>
    <row r="203" spans="1:7" ht="14.5">
      <c r="A203" s="6">
        <f t="shared" si="0"/>
        <v>202</v>
      </c>
      <c r="B203" s="7">
        <f t="shared" si="6"/>
        <v>45964</v>
      </c>
      <c r="C203" s="6">
        <f t="shared" si="9"/>
        <v>18</v>
      </c>
      <c r="D203" s="12">
        <f t="shared" si="10"/>
        <v>13</v>
      </c>
      <c r="E203" s="17">
        <v>409</v>
      </c>
      <c r="F203" s="17">
        <v>409</v>
      </c>
      <c r="G203" s="17">
        <v>0</v>
      </c>
    </row>
    <row r="204" spans="1:7" ht="14.5">
      <c r="A204" s="6">
        <f t="shared" si="0"/>
        <v>203</v>
      </c>
      <c r="B204" s="7">
        <f t="shared" si="6"/>
        <v>45965</v>
      </c>
      <c r="C204" s="6">
        <f t="shared" si="9"/>
        <v>19</v>
      </c>
      <c r="D204" s="12">
        <f t="shared" si="10"/>
        <v>12</v>
      </c>
      <c r="E204" s="17">
        <v>151</v>
      </c>
      <c r="F204" s="17">
        <v>147</v>
      </c>
      <c r="G204" s="17">
        <v>0</v>
      </c>
    </row>
    <row r="205" spans="1:7" ht="14.5">
      <c r="A205" s="6">
        <f t="shared" si="0"/>
        <v>204</v>
      </c>
      <c r="B205" s="7">
        <f t="shared" si="6"/>
        <v>45966</v>
      </c>
      <c r="C205" s="6">
        <f t="shared" si="9"/>
        <v>20</v>
      </c>
      <c r="D205" s="12">
        <f t="shared" si="10"/>
        <v>11</v>
      </c>
      <c r="E205" s="17">
        <v>0</v>
      </c>
      <c r="F205" s="17">
        <v>0</v>
      </c>
      <c r="G205" s="17">
        <v>0</v>
      </c>
    </row>
    <row r="206" spans="1:7" ht="14.5">
      <c r="A206" s="6">
        <f t="shared" si="0"/>
        <v>205</v>
      </c>
      <c r="B206" s="7">
        <f t="shared" si="6"/>
        <v>45967</v>
      </c>
      <c r="C206" s="6">
        <f t="shared" si="9"/>
        <v>21</v>
      </c>
      <c r="D206" s="12">
        <f t="shared" si="10"/>
        <v>10</v>
      </c>
      <c r="E206" s="17">
        <v>661</v>
      </c>
      <c r="F206" s="17">
        <v>643</v>
      </c>
      <c r="G206" s="17">
        <v>0</v>
      </c>
    </row>
    <row r="207" spans="1:7" ht="14.5">
      <c r="A207" s="6">
        <f t="shared" si="0"/>
        <v>206</v>
      </c>
      <c r="B207" s="7">
        <f t="shared" si="6"/>
        <v>45968</v>
      </c>
      <c r="C207" s="6">
        <f t="shared" si="9"/>
        <v>22</v>
      </c>
      <c r="D207" s="12">
        <f t="shared" si="10"/>
        <v>9</v>
      </c>
      <c r="E207" s="17">
        <v>964</v>
      </c>
      <c r="F207" s="17">
        <v>964</v>
      </c>
      <c r="G207" s="17">
        <v>0</v>
      </c>
    </row>
    <row r="208" spans="1:7" ht="14.5">
      <c r="A208" s="6">
        <f t="shared" si="0"/>
        <v>207</v>
      </c>
      <c r="B208" s="7">
        <f t="shared" si="6"/>
        <v>45969</v>
      </c>
      <c r="C208" s="6">
        <f t="shared" si="9"/>
        <v>23</v>
      </c>
      <c r="D208" s="12">
        <f t="shared" si="10"/>
        <v>8</v>
      </c>
      <c r="E208" s="17">
        <v>993</v>
      </c>
      <c r="F208" s="17">
        <v>991</v>
      </c>
      <c r="G208" s="17">
        <v>0</v>
      </c>
    </row>
    <row r="209" spans="1:7" ht="14.5">
      <c r="A209" s="6">
        <f t="shared" si="0"/>
        <v>208</v>
      </c>
      <c r="B209" s="7">
        <f t="shared" si="6"/>
        <v>45970</v>
      </c>
      <c r="C209" s="6">
        <f t="shared" si="9"/>
        <v>24</v>
      </c>
      <c r="D209" s="12">
        <f t="shared" si="10"/>
        <v>7</v>
      </c>
      <c r="E209" s="17">
        <v>94</v>
      </c>
      <c r="F209" s="17">
        <v>44</v>
      </c>
      <c r="G209" s="17">
        <v>0</v>
      </c>
    </row>
    <row r="210" spans="1:7" ht="14.5">
      <c r="A210" s="6">
        <f t="shared" si="0"/>
        <v>209</v>
      </c>
      <c r="B210" s="7">
        <f t="shared" si="6"/>
        <v>45971</v>
      </c>
      <c r="C210" s="6">
        <f t="shared" si="9"/>
        <v>25</v>
      </c>
      <c r="D210" s="12">
        <f t="shared" si="10"/>
        <v>6</v>
      </c>
      <c r="E210" s="17">
        <v>2795</v>
      </c>
      <c r="F210" s="17">
        <v>2792</v>
      </c>
      <c r="G210" s="17">
        <v>0</v>
      </c>
    </row>
    <row r="211" spans="1:7" ht="14.5">
      <c r="A211" s="6">
        <f t="shared" si="0"/>
        <v>210</v>
      </c>
      <c r="B211" s="7">
        <f t="shared" si="6"/>
        <v>45972</v>
      </c>
      <c r="C211" s="6">
        <f t="shared" si="9"/>
        <v>26</v>
      </c>
      <c r="D211" s="12">
        <f t="shared" si="10"/>
        <v>5</v>
      </c>
      <c r="E211" s="17">
        <v>28</v>
      </c>
      <c r="F211" s="17">
        <v>28</v>
      </c>
      <c r="G211" s="17">
        <v>0</v>
      </c>
    </row>
    <row r="212" spans="1:7" ht="14.5">
      <c r="A212" s="6">
        <f t="shared" si="0"/>
        <v>211</v>
      </c>
      <c r="B212" s="7">
        <f t="shared" si="6"/>
        <v>45973</v>
      </c>
      <c r="C212" s="6">
        <f t="shared" si="9"/>
        <v>27</v>
      </c>
      <c r="D212" s="12">
        <f t="shared" si="10"/>
        <v>4</v>
      </c>
      <c r="E212" s="17">
        <v>3717</v>
      </c>
      <c r="F212" s="17">
        <v>3507</v>
      </c>
      <c r="G212" s="17">
        <v>0</v>
      </c>
    </row>
    <row r="213" spans="1:7" ht="14.5">
      <c r="A213" s="6">
        <f t="shared" si="0"/>
        <v>212</v>
      </c>
      <c r="B213" s="7">
        <f t="shared" si="6"/>
        <v>45974</v>
      </c>
      <c r="C213" s="6">
        <f t="shared" si="9"/>
        <v>28</v>
      </c>
      <c r="D213" s="12">
        <f t="shared" si="10"/>
        <v>3</v>
      </c>
      <c r="E213" s="17">
        <v>904</v>
      </c>
      <c r="F213" s="17">
        <v>854</v>
      </c>
      <c r="G213" s="17">
        <v>0</v>
      </c>
    </row>
    <row r="214" spans="1:7" ht="14.5">
      <c r="A214" s="6">
        <f t="shared" si="0"/>
        <v>213</v>
      </c>
      <c r="B214" s="7">
        <f t="shared" si="6"/>
        <v>45975</v>
      </c>
      <c r="C214" s="6">
        <f t="shared" si="9"/>
        <v>29</v>
      </c>
      <c r="D214" s="12">
        <f t="shared" si="10"/>
        <v>2</v>
      </c>
      <c r="E214" s="17">
        <v>237</v>
      </c>
      <c r="F214" s="17">
        <v>237</v>
      </c>
      <c r="G214" s="17">
        <v>0</v>
      </c>
    </row>
    <row r="215" spans="1:7" ht="14.5">
      <c r="A215" s="6">
        <f t="shared" si="0"/>
        <v>214</v>
      </c>
      <c r="B215" s="7">
        <f t="shared" si="6"/>
        <v>45976</v>
      </c>
      <c r="C215" s="6">
        <f t="shared" si="9"/>
        <v>30</v>
      </c>
      <c r="D215" s="12">
        <f t="shared" si="10"/>
        <v>1</v>
      </c>
      <c r="E215" s="17">
        <v>650</v>
      </c>
      <c r="F215" s="17">
        <v>646</v>
      </c>
      <c r="G215" s="17">
        <v>0</v>
      </c>
    </row>
    <row r="216" spans="1:7" ht="14.5">
      <c r="A216" s="6">
        <f t="shared" si="0"/>
        <v>215</v>
      </c>
      <c r="B216" s="7">
        <f t="shared" si="6"/>
        <v>45977</v>
      </c>
      <c r="C216" s="6">
        <f t="shared" si="9"/>
        <v>31</v>
      </c>
      <c r="D216" s="12">
        <f t="shared" si="10"/>
        <v>0</v>
      </c>
      <c r="E216" s="17">
        <v>2359</v>
      </c>
      <c r="F216" s="17">
        <v>1951</v>
      </c>
      <c r="G216" s="17">
        <v>0</v>
      </c>
    </row>
    <row r="217" spans="1:7" ht="14.5">
      <c r="A217" s="6">
        <f t="shared" si="0"/>
        <v>216</v>
      </c>
      <c r="B217" s="7">
        <f t="shared" si="6"/>
        <v>45978</v>
      </c>
      <c r="C217" s="6">
        <v>1</v>
      </c>
      <c r="D217" s="12">
        <v>30</v>
      </c>
      <c r="E217" s="17">
        <v>0</v>
      </c>
      <c r="F217" s="17">
        <v>0</v>
      </c>
      <c r="G217" s="17">
        <v>0</v>
      </c>
    </row>
    <row r="218" spans="1:7" ht="14.5">
      <c r="A218" s="6">
        <f t="shared" si="0"/>
        <v>217</v>
      </c>
      <c r="B218" s="7">
        <f t="shared" si="6"/>
        <v>45979</v>
      </c>
      <c r="C218" s="6">
        <f t="shared" si="9"/>
        <v>2</v>
      </c>
      <c r="D218" s="12">
        <f t="shared" si="10"/>
        <v>29</v>
      </c>
      <c r="E218" s="17">
        <v>0</v>
      </c>
      <c r="F218" s="17">
        <v>0</v>
      </c>
      <c r="G218" s="17">
        <v>0</v>
      </c>
    </row>
    <row r="219" spans="1:7" ht="14.5">
      <c r="A219" s="6">
        <f t="shared" si="0"/>
        <v>218</v>
      </c>
      <c r="B219" s="7">
        <f t="shared" si="6"/>
        <v>45980</v>
      </c>
      <c r="C219" s="6">
        <f t="shared" si="9"/>
        <v>3</v>
      </c>
      <c r="D219" s="12">
        <f t="shared" si="10"/>
        <v>28</v>
      </c>
      <c r="E219" s="17">
        <v>341</v>
      </c>
      <c r="F219" s="17">
        <v>337</v>
      </c>
      <c r="G219" s="17">
        <v>0</v>
      </c>
    </row>
    <row r="220" spans="1:7" ht="14.5">
      <c r="A220" s="6">
        <f t="shared" si="0"/>
        <v>219</v>
      </c>
      <c r="B220" s="7">
        <f t="shared" si="6"/>
        <v>45981</v>
      </c>
      <c r="C220" s="6">
        <f t="shared" si="9"/>
        <v>4</v>
      </c>
      <c r="D220" s="12">
        <f t="shared" si="10"/>
        <v>27</v>
      </c>
      <c r="E220" s="17">
        <v>0</v>
      </c>
      <c r="F220" s="17">
        <v>0</v>
      </c>
      <c r="G220" s="17">
        <v>0</v>
      </c>
    </row>
    <row r="221" spans="1:7" ht="14.5">
      <c r="A221" s="6">
        <f t="shared" si="0"/>
        <v>220</v>
      </c>
      <c r="B221" s="7">
        <f t="shared" si="6"/>
        <v>45982</v>
      </c>
      <c r="C221" s="6">
        <f t="shared" si="9"/>
        <v>5</v>
      </c>
      <c r="D221" s="12">
        <f t="shared" si="10"/>
        <v>26</v>
      </c>
      <c r="E221" s="17">
        <v>241</v>
      </c>
      <c r="F221" s="17">
        <v>241</v>
      </c>
      <c r="G221" s="17">
        <v>0</v>
      </c>
    </row>
    <row r="222" spans="1:7" ht="14.5">
      <c r="A222" s="6">
        <f t="shared" si="0"/>
        <v>221</v>
      </c>
      <c r="B222" s="7">
        <f t="shared" si="6"/>
        <v>45983</v>
      </c>
      <c r="C222" s="6">
        <f t="shared" si="9"/>
        <v>6</v>
      </c>
      <c r="D222" s="12">
        <f t="shared" si="10"/>
        <v>25</v>
      </c>
      <c r="E222" s="17">
        <v>361</v>
      </c>
      <c r="F222" s="17">
        <v>361</v>
      </c>
      <c r="G222" s="17">
        <v>0</v>
      </c>
    </row>
    <row r="223" spans="1:7" ht="14.5">
      <c r="A223" s="6">
        <f t="shared" si="0"/>
        <v>222</v>
      </c>
      <c r="B223" s="7">
        <f t="shared" si="6"/>
        <v>45984</v>
      </c>
      <c r="C223" s="6">
        <f t="shared" si="9"/>
        <v>7</v>
      </c>
      <c r="D223" s="12">
        <f t="shared" si="10"/>
        <v>24</v>
      </c>
      <c r="E223" s="17">
        <v>0</v>
      </c>
      <c r="F223" s="17">
        <v>0</v>
      </c>
      <c r="G223" s="17">
        <v>0</v>
      </c>
    </row>
    <row r="224" spans="1:7" ht="14.5">
      <c r="A224" s="6">
        <f t="shared" si="0"/>
        <v>223</v>
      </c>
      <c r="B224" s="7">
        <f t="shared" si="6"/>
        <v>45985</v>
      </c>
      <c r="C224" s="6">
        <f t="shared" si="9"/>
        <v>8</v>
      </c>
      <c r="D224" s="12">
        <f t="shared" si="10"/>
        <v>23</v>
      </c>
      <c r="E224" s="17">
        <v>0</v>
      </c>
      <c r="F224" s="17">
        <v>0</v>
      </c>
      <c r="G224" s="17">
        <v>0</v>
      </c>
    </row>
    <row r="225" spans="1:7" ht="14.5">
      <c r="A225" s="6">
        <f t="shared" si="0"/>
        <v>224</v>
      </c>
      <c r="B225" s="7">
        <f t="shared" si="6"/>
        <v>45986</v>
      </c>
      <c r="C225" s="6">
        <f t="shared" si="9"/>
        <v>9</v>
      </c>
      <c r="D225" s="12">
        <f t="shared" si="10"/>
        <v>22</v>
      </c>
      <c r="E225" s="17">
        <v>698</v>
      </c>
      <c r="F225" s="17">
        <v>688</v>
      </c>
      <c r="G225" s="17">
        <v>0</v>
      </c>
    </row>
    <row r="226" spans="1:7" ht="14.5">
      <c r="A226" s="6">
        <f t="shared" si="0"/>
        <v>225</v>
      </c>
      <c r="B226" s="7">
        <f t="shared" si="6"/>
        <v>45987</v>
      </c>
      <c r="C226" s="6">
        <f t="shared" si="9"/>
        <v>10</v>
      </c>
      <c r="D226" s="12">
        <f t="shared" si="10"/>
        <v>21</v>
      </c>
      <c r="E226" s="17">
        <v>535</v>
      </c>
      <c r="F226" s="17">
        <v>481</v>
      </c>
      <c r="G226" s="17">
        <v>0</v>
      </c>
    </row>
    <row r="227" spans="1:7" ht="14.5">
      <c r="A227" s="6">
        <f t="shared" si="0"/>
        <v>226</v>
      </c>
      <c r="B227" s="7">
        <f t="shared" si="6"/>
        <v>45988</v>
      </c>
      <c r="C227" s="6">
        <f t="shared" si="9"/>
        <v>11</v>
      </c>
      <c r="D227" s="12">
        <f t="shared" si="10"/>
        <v>20</v>
      </c>
      <c r="E227" s="17">
        <v>623</v>
      </c>
      <c r="F227" s="17">
        <v>439</v>
      </c>
      <c r="G227" s="17">
        <v>0</v>
      </c>
    </row>
    <row r="228" spans="1:7" ht="14.5">
      <c r="A228" s="6">
        <f t="shared" si="0"/>
        <v>227</v>
      </c>
      <c r="B228" s="7">
        <f t="shared" si="6"/>
        <v>45989</v>
      </c>
      <c r="C228" s="6">
        <f t="shared" si="9"/>
        <v>12</v>
      </c>
      <c r="D228" s="12">
        <f t="shared" si="10"/>
        <v>19</v>
      </c>
      <c r="E228" s="17">
        <v>0</v>
      </c>
      <c r="F228" s="17">
        <v>0</v>
      </c>
      <c r="G228" s="17">
        <v>0</v>
      </c>
    </row>
    <row r="229" spans="1:7" ht="14.5">
      <c r="A229" s="6">
        <f t="shared" si="0"/>
        <v>228</v>
      </c>
      <c r="B229" s="7">
        <f t="shared" si="6"/>
        <v>45990</v>
      </c>
      <c r="C229" s="6">
        <f t="shared" si="9"/>
        <v>13</v>
      </c>
      <c r="D229" s="12">
        <f t="shared" si="10"/>
        <v>18</v>
      </c>
      <c r="E229" s="17">
        <v>471</v>
      </c>
      <c r="F229" s="17">
        <v>471</v>
      </c>
      <c r="G229" s="17">
        <v>0</v>
      </c>
    </row>
    <row r="230" spans="1:7" ht="14.5">
      <c r="A230" s="6">
        <f t="shared" si="0"/>
        <v>229</v>
      </c>
      <c r="B230" s="7">
        <f t="shared" si="6"/>
        <v>45991</v>
      </c>
      <c r="C230" s="6">
        <f t="shared" si="9"/>
        <v>14</v>
      </c>
      <c r="D230" s="12">
        <f t="shared" si="10"/>
        <v>17</v>
      </c>
      <c r="E230" s="17">
        <v>1124</v>
      </c>
      <c r="F230" s="17">
        <v>1124</v>
      </c>
      <c r="G230" s="17">
        <v>1</v>
      </c>
    </row>
    <row r="231" spans="1:7" ht="14.5">
      <c r="A231" s="6">
        <f t="shared" si="0"/>
        <v>230</v>
      </c>
      <c r="B231" s="7">
        <f t="shared" si="6"/>
        <v>45992</v>
      </c>
      <c r="C231" s="6">
        <f t="shared" si="9"/>
        <v>15</v>
      </c>
      <c r="D231" s="12">
        <f t="shared" si="10"/>
        <v>16</v>
      </c>
      <c r="E231" s="17">
        <v>0</v>
      </c>
      <c r="F231" s="17">
        <v>0</v>
      </c>
      <c r="G231" s="17">
        <v>0</v>
      </c>
    </row>
    <row r="232" spans="1:7" ht="14.5">
      <c r="A232" s="6">
        <f t="shared" si="0"/>
        <v>231</v>
      </c>
      <c r="B232" s="7">
        <f t="shared" si="6"/>
        <v>45993</v>
      </c>
      <c r="C232" s="6">
        <f t="shared" si="9"/>
        <v>16</v>
      </c>
      <c r="D232" s="12">
        <f t="shared" si="10"/>
        <v>15</v>
      </c>
      <c r="E232" s="17">
        <v>1321</v>
      </c>
      <c r="F232" s="17">
        <v>934</v>
      </c>
      <c r="G232" s="17">
        <v>0</v>
      </c>
    </row>
    <row r="233" spans="1:7" ht="14.5">
      <c r="A233" s="6">
        <f t="shared" si="0"/>
        <v>232</v>
      </c>
      <c r="B233" s="7">
        <f t="shared" si="6"/>
        <v>45994</v>
      </c>
      <c r="C233" s="6">
        <f t="shared" si="9"/>
        <v>17</v>
      </c>
      <c r="D233" s="12">
        <f t="shared" si="10"/>
        <v>14</v>
      </c>
      <c r="E233" s="17">
        <v>0</v>
      </c>
      <c r="F233" s="17">
        <v>0</v>
      </c>
      <c r="G233" s="17">
        <v>0</v>
      </c>
    </row>
    <row r="234" spans="1:7" ht="14.5">
      <c r="A234" s="6">
        <f t="shared" si="0"/>
        <v>233</v>
      </c>
      <c r="B234" s="7">
        <f t="shared" si="6"/>
        <v>45995</v>
      </c>
      <c r="C234" s="6">
        <f t="shared" si="9"/>
        <v>18</v>
      </c>
      <c r="D234" s="12">
        <f t="shared" si="10"/>
        <v>13</v>
      </c>
      <c r="E234" s="17">
        <v>0</v>
      </c>
      <c r="F234" s="17">
        <v>0</v>
      </c>
      <c r="G234" s="17">
        <v>0</v>
      </c>
    </row>
    <row r="235" spans="1:7" ht="14.5">
      <c r="A235" s="6">
        <f t="shared" si="0"/>
        <v>234</v>
      </c>
      <c r="B235" s="7">
        <f t="shared" si="6"/>
        <v>45996</v>
      </c>
      <c r="C235" s="6">
        <f t="shared" si="9"/>
        <v>19</v>
      </c>
      <c r="D235" s="12">
        <f t="shared" si="10"/>
        <v>12</v>
      </c>
      <c r="E235" s="17">
        <v>517</v>
      </c>
      <c r="F235" s="17">
        <v>517</v>
      </c>
      <c r="G235" s="17">
        <v>0</v>
      </c>
    </row>
    <row r="236" spans="1:7" ht="14.5">
      <c r="A236" s="6">
        <f t="shared" si="0"/>
        <v>235</v>
      </c>
      <c r="B236" s="7">
        <f t="shared" si="6"/>
        <v>45997</v>
      </c>
      <c r="C236" s="6">
        <f t="shared" si="9"/>
        <v>20</v>
      </c>
      <c r="D236" s="12">
        <f t="shared" si="10"/>
        <v>11</v>
      </c>
      <c r="E236" s="17">
        <v>0</v>
      </c>
      <c r="F236" s="17">
        <v>0</v>
      </c>
      <c r="G236" s="17">
        <v>0</v>
      </c>
    </row>
    <row r="237" spans="1:7" ht="14.5">
      <c r="A237" s="6">
        <f t="shared" si="0"/>
        <v>236</v>
      </c>
      <c r="B237" s="7">
        <f t="shared" si="6"/>
        <v>45998</v>
      </c>
      <c r="C237" s="6">
        <f t="shared" si="9"/>
        <v>21</v>
      </c>
      <c r="D237" s="12">
        <f t="shared" si="10"/>
        <v>10</v>
      </c>
      <c r="E237" s="17">
        <v>0</v>
      </c>
      <c r="F237" s="17">
        <v>0</v>
      </c>
      <c r="G237" s="17">
        <v>0</v>
      </c>
    </row>
    <row r="238" spans="1:7" ht="14.5">
      <c r="A238" s="6">
        <f t="shared" si="0"/>
        <v>237</v>
      </c>
      <c r="B238" s="7">
        <f t="shared" si="6"/>
        <v>45999</v>
      </c>
      <c r="C238" s="6">
        <f t="shared" si="9"/>
        <v>22</v>
      </c>
      <c r="D238" s="12">
        <f t="shared" si="10"/>
        <v>9</v>
      </c>
      <c r="E238" s="17">
        <v>1641</v>
      </c>
      <c r="F238" s="17">
        <v>962</v>
      </c>
      <c r="G238" s="17">
        <v>0</v>
      </c>
    </row>
    <row r="239" spans="1:7" ht="14.5">
      <c r="A239" s="6">
        <f t="shared" si="0"/>
        <v>238</v>
      </c>
      <c r="B239" s="7">
        <f t="shared" si="6"/>
        <v>46000</v>
      </c>
      <c r="C239" s="6">
        <f t="shared" si="9"/>
        <v>23</v>
      </c>
      <c r="D239" s="12">
        <f t="shared" si="10"/>
        <v>8</v>
      </c>
      <c r="E239" s="17">
        <v>0</v>
      </c>
      <c r="F239" s="17">
        <v>0</v>
      </c>
      <c r="G239" s="17">
        <v>0</v>
      </c>
    </row>
    <row r="240" spans="1:7" ht="14.5">
      <c r="A240" s="6">
        <f t="shared" si="0"/>
        <v>239</v>
      </c>
      <c r="B240" s="7">
        <f t="shared" si="6"/>
        <v>46001</v>
      </c>
      <c r="C240" s="6">
        <f t="shared" si="9"/>
        <v>24</v>
      </c>
      <c r="D240" s="12">
        <f t="shared" si="10"/>
        <v>7</v>
      </c>
      <c r="E240" s="17">
        <v>144</v>
      </c>
      <c r="F240" s="17">
        <v>144</v>
      </c>
      <c r="G240" s="17">
        <v>0</v>
      </c>
    </row>
    <row r="241" spans="1:7" ht="14.5">
      <c r="A241" s="6">
        <f t="shared" si="0"/>
        <v>240</v>
      </c>
      <c r="B241" s="7">
        <f t="shared" si="6"/>
        <v>46002</v>
      </c>
      <c r="C241" s="6">
        <f t="shared" si="9"/>
        <v>25</v>
      </c>
      <c r="D241" s="12">
        <f t="shared" si="10"/>
        <v>6</v>
      </c>
      <c r="E241" s="17">
        <v>1740</v>
      </c>
      <c r="F241" s="17">
        <v>1728</v>
      </c>
      <c r="G241" s="17">
        <v>0</v>
      </c>
    </row>
    <row r="242" spans="1:7" ht="14.5">
      <c r="A242" s="6">
        <f t="shared" si="0"/>
        <v>241</v>
      </c>
      <c r="B242" s="7">
        <f t="shared" si="6"/>
        <v>46003</v>
      </c>
      <c r="C242" s="6">
        <f t="shared" si="9"/>
        <v>26</v>
      </c>
      <c r="D242" s="12">
        <f t="shared" si="10"/>
        <v>5</v>
      </c>
      <c r="E242" s="17">
        <v>0</v>
      </c>
      <c r="F242" s="17">
        <v>0</v>
      </c>
      <c r="G242" s="17">
        <v>0</v>
      </c>
    </row>
    <row r="243" spans="1:7" ht="14.5">
      <c r="A243" s="6">
        <f t="shared" si="0"/>
        <v>242</v>
      </c>
      <c r="B243" s="7">
        <f t="shared" si="6"/>
        <v>46004</v>
      </c>
      <c r="C243" s="6">
        <f t="shared" si="9"/>
        <v>27</v>
      </c>
      <c r="D243" s="12">
        <f t="shared" si="10"/>
        <v>4</v>
      </c>
      <c r="E243" s="17">
        <v>0</v>
      </c>
      <c r="F243" s="17">
        <v>0</v>
      </c>
      <c r="G243" s="17">
        <v>0</v>
      </c>
    </row>
    <row r="244" spans="1:7" ht="14.5">
      <c r="A244" s="6">
        <f t="shared" si="0"/>
        <v>243</v>
      </c>
      <c r="B244" s="7">
        <f t="shared" si="6"/>
        <v>46005</v>
      </c>
      <c r="C244" s="6">
        <f t="shared" si="9"/>
        <v>28</v>
      </c>
      <c r="D244" s="12">
        <f t="shared" si="10"/>
        <v>3</v>
      </c>
      <c r="E244" s="17">
        <v>19</v>
      </c>
      <c r="F244" s="17">
        <v>0</v>
      </c>
      <c r="G244" s="17">
        <v>0</v>
      </c>
    </row>
    <row r="245" spans="1:7" ht="14.5">
      <c r="A245" s="6">
        <f t="shared" si="0"/>
        <v>244</v>
      </c>
      <c r="B245" s="7">
        <f t="shared" si="6"/>
        <v>46006</v>
      </c>
      <c r="C245" s="6">
        <f t="shared" si="9"/>
        <v>29</v>
      </c>
      <c r="D245" s="12">
        <f t="shared" si="10"/>
        <v>2</v>
      </c>
      <c r="E245" s="17">
        <v>714</v>
      </c>
      <c r="F245" s="17">
        <v>714</v>
      </c>
      <c r="G245" s="17">
        <v>0</v>
      </c>
    </row>
    <row r="246" spans="1:7" ht="14.5">
      <c r="A246" s="6">
        <f t="shared" si="0"/>
        <v>245</v>
      </c>
      <c r="B246" s="7">
        <f t="shared" si="6"/>
        <v>46007</v>
      </c>
      <c r="C246" s="6">
        <f t="shared" si="9"/>
        <v>30</v>
      </c>
      <c r="D246" s="12">
        <f t="shared" si="10"/>
        <v>1</v>
      </c>
      <c r="E246" s="17">
        <v>0</v>
      </c>
      <c r="F246" s="17">
        <v>0</v>
      </c>
      <c r="G246" s="17">
        <v>0</v>
      </c>
    </row>
    <row r="247" spans="1:7" ht="14.5">
      <c r="A247" s="6">
        <f t="shared" si="0"/>
        <v>246</v>
      </c>
      <c r="B247" s="7">
        <f t="shared" si="6"/>
        <v>46008</v>
      </c>
      <c r="C247" s="6">
        <v>1</v>
      </c>
      <c r="D247" s="12">
        <v>30</v>
      </c>
      <c r="E247" s="17">
        <v>0</v>
      </c>
      <c r="F247" s="17">
        <v>0</v>
      </c>
      <c r="G247" s="17">
        <v>0</v>
      </c>
    </row>
    <row r="248" spans="1:7" ht="14.5">
      <c r="A248" s="6">
        <f t="shared" si="0"/>
        <v>247</v>
      </c>
      <c r="B248" s="7">
        <f t="shared" si="6"/>
        <v>46009</v>
      </c>
      <c r="C248" s="6">
        <f>C247+1</f>
        <v>2</v>
      </c>
      <c r="D248" s="12">
        <f t="shared" si="10"/>
        <v>29</v>
      </c>
      <c r="E248" s="17">
        <v>0</v>
      </c>
      <c r="F248" s="17">
        <v>0</v>
      </c>
      <c r="G248" s="17">
        <v>0</v>
      </c>
    </row>
    <row r="249" spans="1:7" ht="14.5">
      <c r="A249" s="6">
        <f t="shared" si="0"/>
        <v>248</v>
      </c>
      <c r="B249" s="7">
        <f t="shared" si="6"/>
        <v>46010</v>
      </c>
      <c r="C249" s="6">
        <f t="shared" si="6"/>
        <v>3</v>
      </c>
      <c r="D249" s="12">
        <f t="shared" si="10"/>
        <v>28</v>
      </c>
      <c r="E249" s="17">
        <v>0</v>
      </c>
      <c r="F249" s="17">
        <v>0</v>
      </c>
      <c r="G249" s="17">
        <v>0</v>
      </c>
    </row>
    <row r="250" spans="1:7" ht="14.5">
      <c r="A250" s="6">
        <f t="shared" si="0"/>
        <v>249</v>
      </c>
      <c r="B250" s="7">
        <f t="shared" si="6"/>
        <v>46011</v>
      </c>
      <c r="C250" s="6">
        <f t="shared" si="6"/>
        <v>4</v>
      </c>
      <c r="D250" s="12">
        <f t="shared" si="10"/>
        <v>27</v>
      </c>
      <c r="E250" s="17">
        <v>0</v>
      </c>
      <c r="F250" s="17">
        <v>0</v>
      </c>
      <c r="G250" s="17">
        <v>0</v>
      </c>
    </row>
    <row r="251" spans="1:7" ht="14.5">
      <c r="A251" s="6">
        <f t="shared" si="0"/>
        <v>250</v>
      </c>
      <c r="B251" s="7">
        <f t="shared" si="6"/>
        <v>46012</v>
      </c>
      <c r="C251" s="6">
        <f t="shared" si="6"/>
        <v>5</v>
      </c>
      <c r="D251" s="12">
        <f t="shared" si="10"/>
        <v>26</v>
      </c>
      <c r="E251" s="17">
        <v>0</v>
      </c>
      <c r="F251" s="17">
        <v>0</v>
      </c>
      <c r="G251" s="17">
        <v>0</v>
      </c>
    </row>
    <row r="252" spans="1:7" ht="14.5">
      <c r="A252" s="6">
        <f t="shared" si="0"/>
        <v>251</v>
      </c>
      <c r="B252" s="7">
        <f t="shared" si="6"/>
        <v>46013</v>
      </c>
      <c r="C252" s="6">
        <f t="shared" si="6"/>
        <v>6</v>
      </c>
      <c r="D252" s="12">
        <f t="shared" si="10"/>
        <v>25</v>
      </c>
      <c r="E252" s="17">
        <v>0</v>
      </c>
      <c r="F252" s="17">
        <v>0</v>
      </c>
      <c r="G252" s="17">
        <v>0</v>
      </c>
    </row>
    <row r="253" spans="1:7" ht="14.5">
      <c r="A253" s="6">
        <f t="shared" si="0"/>
        <v>252</v>
      </c>
      <c r="B253" s="7">
        <f t="shared" si="6"/>
        <v>46014</v>
      </c>
      <c r="C253" s="6">
        <f t="shared" si="6"/>
        <v>7</v>
      </c>
      <c r="D253" s="12">
        <f t="shared" si="10"/>
        <v>24</v>
      </c>
      <c r="E253" s="17">
        <v>1322</v>
      </c>
      <c r="F253" s="17">
        <v>1322</v>
      </c>
      <c r="G253" s="17">
        <v>0</v>
      </c>
    </row>
    <row r="254" spans="1:7" ht="14.5">
      <c r="A254" s="6">
        <f t="shared" si="0"/>
        <v>253</v>
      </c>
      <c r="B254" s="7">
        <f t="shared" si="6"/>
        <v>46015</v>
      </c>
      <c r="C254" s="6">
        <f t="shared" si="6"/>
        <v>8</v>
      </c>
      <c r="D254" s="12">
        <f t="shared" si="10"/>
        <v>23</v>
      </c>
      <c r="E254" s="17">
        <v>830</v>
      </c>
      <c r="F254" s="17">
        <v>685</v>
      </c>
      <c r="G254" s="17">
        <v>0</v>
      </c>
    </row>
    <row r="255" spans="1:7" ht="14.5">
      <c r="A255" s="6">
        <f t="shared" si="0"/>
        <v>254</v>
      </c>
      <c r="B255" s="7">
        <f t="shared" si="6"/>
        <v>46016</v>
      </c>
      <c r="C255" s="6">
        <f t="shared" si="6"/>
        <v>9</v>
      </c>
      <c r="D255" s="12">
        <f t="shared" si="10"/>
        <v>22</v>
      </c>
      <c r="E255" s="17">
        <v>51</v>
      </c>
      <c r="F255" s="17">
        <v>51</v>
      </c>
      <c r="G255" s="17">
        <v>0</v>
      </c>
    </row>
    <row r="256" spans="1:7" ht="14.5">
      <c r="A256" s="6">
        <f t="shared" si="0"/>
        <v>255</v>
      </c>
      <c r="B256" s="7">
        <f t="shared" si="6"/>
        <v>46017</v>
      </c>
      <c r="C256" s="6">
        <f t="shared" si="6"/>
        <v>10</v>
      </c>
      <c r="D256" s="12">
        <f t="shared" si="10"/>
        <v>21</v>
      </c>
      <c r="E256" s="17">
        <v>198</v>
      </c>
      <c r="F256" s="17">
        <v>198</v>
      </c>
      <c r="G256" s="17">
        <v>0</v>
      </c>
    </row>
    <row r="257" spans="1:7" ht="14.5">
      <c r="A257" s="6">
        <f t="shared" ref="A257:A306" si="11">ROW()-1</f>
        <v>256</v>
      </c>
      <c r="B257" s="7">
        <f t="shared" si="6"/>
        <v>46018</v>
      </c>
      <c r="C257" s="6">
        <f t="shared" si="6"/>
        <v>11</v>
      </c>
      <c r="D257" s="12">
        <f t="shared" si="10"/>
        <v>20</v>
      </c>
      <c r="E257" s="17">
        <v>613</v>
      </c>
      <c r="F257" s="17">
        <v>588</v>
      </c>
      <c r="G257" s="17">
        <v>0</v>
      </c>
    </row>
    <row r="258" spans="1:7" ht="14.5">
      <c r="A258" s="6">
        <f t="shared" si="11"/>
        <v>257</v>
      </c>
      <c r="B258" s="7">
        <f t="shared" si="6"/>
        <v>46019</v>
      </c>
      <c r="C258" s="6">
        <f t="shared" si="6"/>
        <v>12</v>
      </c>
      <c r="D258" s="12">
        <f t="shared" si="10"/>
        <v>19</v>
      </c>
      <c r="E258" s="17">
        <v>5026</v>
      </c>
      <c r="F258" s="17">
        <v>5026</v>
      </c>
      <c r="G258" s="17">
        <v>0</v>
      </c>
    </row>
    <row r="259" spans="1:7" ht="14.5">
      <c r="A259" s="6">
        <f t="shared" si="11"/>
        <v>258</v>
      </c>
      <c r="B259" s="7">
        <f t="shared" si="6"/>
        <v>46020</v>
      </c>
      <c r="C259" s="6">
        <f t="shared" si="6"/>
        <v>13</v>
      </c>
      <c r="D259" s="12">
        <f t="shared" si="10"/>
        <v>18</v>
      </c>
      <c r="E259" s="17">
        <v>107</v>
      </c>
      <c r="F259" s="17">
        <v>107</v>
      </c>
      <c r="G259" s="17">
        <v>0</v>
      </c>
    </row>
    <row r="260" spans="1:7" ht="14.5">
      <c r="A260" s="6">
        <f t="shared" si="11"/>
        <v>259</v>
      </c>
      <c r="B260" s="7">
        <f t="shared" si="6"/>
        <v>46021</v>
      </c>
      <c r="C260" s="6">
        <f t="shared" si="6"/>
        <v>14</v>
      </c>
      <c r="D260" s="12">
        <f t="shared" si="10"/>
        <v>17</v>
      </c>
      <c r="E260" s="17">
        <v>104</v>
      </c>
      <c r="F260" s="17">
        <v>100</v>
      </c>
      <c r="G260" s="17">
        <v>0</v>
      </c>
    </row>
    <row r="261" spans="1:7" ht="14.5">
      <c r="A261" s="6">
        <f t="shared" si="11"/>
        <v>260</v>
      </c>
      <c r="B261" s="7">
        <f t="shared" si="6"/>
        <v>46022</v>
      </c>
      <c r="C261" s="6">
        <f t="shared" si="6"/>
        <v>15</v>
      </c>
      <c r="D261" s="12">
        <f t="shared" si="10"/>
        <v>16</v>
      </c>
      <c r="E261" s="17">
        <v>153</v>
      </c>
      <c r="F261" s="17">
        <v>153</v>
      </c>
      <c r="G261" s="17">
        <v>0</v>
      </c>
    </row>
    <row r="262" spans="1:7" ht="14.5">
      <c r="A262" s="6">
        <f t="shared" si="11"/>
        <v>261</v>
      </c>
      <c r="B262" s="7">
        <f t="shared" si="6"/>
        <v>46023</v>
      </c>
      <c r="C262" s="6">
        <f t="shared" si="6"/>
        <v>16</v>
      </c>
      <c r="D262" s="12">
        <f t="shared" si="10"/>
        <v>15</v>
      </c>
      <c r="E262" s="17">
        <v>25</v>
      </c>
      <c r="F262" s="17">
        <v>25</v>
      </c>
      <c r="G262" s="17">
        <v>0</v>
      </c>
    </row>
    <row r="263" spans="1:7" ht="14.5">
      <c r="A263" s="6">
        <f t="shared" si="11"/>
        <v>262</v>
      </c>
      <c r="B263" s="7">
        <f t="shared" si="6"/>
        <v>46024</v>
      </c>
      <c r="C263" s="6">
        <f t="shared" si="6"/>
        <v>17</v>
      </c>
      <c r="D263" s="12">
        <f t="shared" si="10"/>
        <v>14</v>
      </c>
      <c r="E263" s="17">
        <v>0</v>
      </c>
      <c r="F263" s="17">
        <v>0</v>
      </c>
      <c r="G263" s="17">
        <v>0</v>
      </c>
    </row>
    <row r="264" spans="1:7" ht="14.5">
      <c r="A264" s="6">
        <f t="shared" si="11"/>
        <v>263</v>
      </c>
      <c r="B264" s="7">
        <f t="shared" si="6"/>
        <v>46025</v>
      </c>
      <c r="C264" s="6">
        <f t="shared" si="6"/>
        <v>18</v>
      </c>
      <c r="D264" s="12">
        <f t="shared" si="10"/>
        <v>13</v>
      </c>
      <c r="E264" s="17">
        <v>289</v>
      </c>
      <c r="F264" s="17">
        <v>289</v>
      </c>
      <c r="G264" s="17">
        <v>0</v>
      </c>
    </row>
    <row r="265" spans="1:7" ht="14.5">
      <c r="A265" s="6">
        <f t="shared" si="11"/>
        <v>264</v>
      </c>
      <c r="B265" s="7">
        <f t="shared" si="6"/>
        <v>46026</v>
      </c>
      <c r="C265" s="6">
        <f t="shared" si="6"/>
        <v>19</v>
      </c>
      <c r="D265" s="12">
        <f t="shared" si="10"/>
        <v>12</v>
      </c>
      <c r="E265" s="17">
        <v>343</v>
      </c>
      <c r="F265" s="17">
        <v>343</v>
      </c>
      <c r="G265" s="17">
        <v>0</v>
      </c>
    </row>
    <row r="266" spans="1:7" ht="14.5">
      <c r="A266" s="6">
        <f t="shared" si="11"/>
        <v>265</v>
      </c>
      <c r="B266" s="7">
        <f t="shared" si="6"/>
        <v>46027</v>
      </c>
      <c r="C266" s="6">
        <f t="shared" si="6"/>
        <v>20</v>
      </c>
      <c r="D266" s="12">
        <f t="shared" si="10"/>
        <v>11</v>
      </c>
      <c r="E266" s="17">
        <v>451</v>
      </c>
      <c r="F266" s="17">
        <v>451</v>
      </c>
      <c r="G266" s="17">
        <v>0</v>
      </c>
    </row>
    <row r="267" spans="1:7" ht="14.5">
      <c r="A267" s="6">
        <f t="shared" si="11"/>
        <v>266</v>
      </c>
      <c r="B267" s="7">
        <f t="shared" si="6"/>
        <v>46028</v>
      </c>
      <c r="C267" s="6">
        <f t="shared" si="6"/>
        <v>21</v>
      </c>
      <c r="D267" s="12">
        <f t="shared" si="10"/>
        <v>10</v>
      </c>
      <c r="E267" s="17">
        <v>805</v>
      </c>
      <c r="F267" s="17">
        <v>569</v>
      </c>
      <c r="G267" s="17">
        <v>0</v>
      </c>
    </row>
    <row r="268" spans="1:7" ht="14.5">
      <c r="A268" s="6">
        <f t="shared" si="11"/>
        <v>267</v>
      </c>
      <c r="B268" s="7">
        <f t="shared" si="6"/>
        <v>46029</v>
      </c>
      <c r="C268" s="6">
        <f t="shared" si="6"/>
        <v>22</v>
      </c>
      <c r="D268" s="12">
        <f t="shared" si="10"/>
        <v>9</v>
      </c>
      <c r="E268" s="17">
        <v>1441</v>
      </c>
      <c r="F268" s="17">
        <v>1441</v>
      </c>
      <c r="G268" s="17">
        <v>0</v>
      </c>
    </row>
    <row r="269" spans="1:7" ht="14.5">
      <c r="A269" s="6">
        <f t="shared" si="11"/>
        <v>268</v>
      </c>
      <c r="B269" s="7">
        <f t="shared" si="6"/>
        <v>46030</v>
      </c>
      <c r="C269" s="6">
        <f t="shared" si="6"/>
        <v>23</v>
      </c>
      <c r="D269" s="12">
        <f t="shared" si="10"/>
        <v>8</v>
      </c>
      <c r="E269" s="17">
        <v>472</v>
      </c>
      <c r="F269" s="17">
        <v>472</v>
      </c>
      <c r="G269" s="17">
        <v>0</v>
      </c>
    </row>
    <row r="270" spans="1:7" ht="14.5">
      <c r="A270" s="6">
        <f t="shared" si="11"/>
        <v>269</v>
      </c>
      <c r="B270" s="7">
        <f t="shared" si="6"/>
        <v>46031</v>
      </c>
      <c r="C270" s="6">
        <f t="shared" si="6"/>
        <v>24</v>
      </c>
      <c r="D270" s="12">
        <f t="shared" si="10"/>
        <v>7</v>
      </c>
      <c r="E270" s="17">
        <v>610</v>
      </c>
      <c r="F270" s="17">
        <v>528</v>
      </c>
      <c r="G270" s="17">
        <v>0</v>
      </c>
    </row>
    <row r="271" spans="1:7" ht="14.5">
      <c r="A271" s="6">
        <f t="shared" si="11"/>
        <v>270</v>
      </c>
      <c r="B271" s="7">
        <f t="shared" si="6"/>
        <v>46032</v>
      </c>
      <c r="C271" s="6">
        <f t="shared" ref="C271" si="12">C270+1</f>
        <v>25</v>
      </c>
      <c r="D271" s="12">
        <f t="shared" si="10"/>
        <v>6</v>
      </c>
      <c r="E271" s="17">
        <v>58</v>
      </c>
      <c r="F271" s="17">
        <v>56</v>
      </c>
      <c r="G271" s="17">
        <v>0</v>
      </c>
    </row>
    <row r="272" spans="1:7" ht="14.5">
      <c r="A272" s="6">
        <f t="shared" si="11"/>
        <v>271</v>
      </c>
      <c r="B272" s="7">
        <f t="shared" si="6"/>
        <v>46033</v>
      </c>
      <c r="C272" s="6">
        <f t="shared" ref="C272" si="13">C271+1</f>
        <v>26</v>
      </c>
      <c r="D272" s="12">
        <f t="shared" si="10"/>
        <v>5</v>
      </c>
      <c r="E272" s="17">
        <v>521</v>
      </c>
      <c r="F272" s="17">
        <v>521</v>
      </c>
      <c r="G272" s="17">
        <v>0</v>
      </c>
    </row>
    <row r="273" spans="1:7" ht="14.5">
      <c r="A273" s="6">
        <f t="shared" si="11"/>
        <v>272</v>
      </c>
      <c r="B273" s="7">
        <f t="shared" si="6"/>
        <v>46034</v>
      </c>
      <c r="C273" s="6">
        <f t="shared" ref="C273" si="14">C272+1</f>
        <v>27</v>
      </c>
      <c r="D273" s="12">
        <f t="shared" si="10"/>
        <v>4</v>
      </c>
      <c r="E273" s="17">
        <v>804</v>
      </c>
      <c r="F273" s="17">
        <v>804</v>
      </c>
      <c r="G273" s="17">
        <v>0</v>
      </c>
    </row>
    <row r="274" spans="1:7" ht="14.5">
      <c r="A274" s="6">
        <f t="shared" si="11"/>
        <v>273</v>
      </c>
      <c r="B274" s="7">
        <f t="shared" si="6"/>
        <v>46035</v>
      </c>
      <c r="C274" s="6">
        <f t="shared" ref="C274" si="15">C273+1</f>
        <v>28</v>
      </c>
      <c r="D274" s="12">
        <f t="shared" si="10"/>
        <v>3</v>
      </c>
      <c r="E274" s="17">
        <v>585</v>
      </c>
      <c r="F274" s="17">
        <v>519</v>
      </c>
      <c r="G274" s="17">
        <v>0</v>
      </c>
    </row>
    <row r="275" spans="1:7" ht="14.5">
      <c r="A275" s="6">
        <f t="shared" si="11"/>
        <v>274</v>
      </c>
      <c r="B275" s="7">
        <f t="shared" si="6"/>
        <v>46036</v>
      </c>
      <c r="C275" s="6">
        <f t="shared" ref="C275" si="16">C274+1</f>
        <v>29</v>
      </c>
      <c r="D275" s="12">
        <f t="shared" si="10"/>
        <v>2</v>
      </c>
      <c r="E275" s="17">
        <v>0</v>
      </c>
      <c r="F275" s="17">
        <v>0</v>
      </c>
      <c r="G275" s="17">
        <v>0</v>
      </c>
    </row>
    <row r="276" spans="1:7" ht="14.5">
      <c r="A276" s="6">
        <f t="shared" si="11"/>
        <v>275</v>
      </c>
      <c r="B276" s="7">
        <f t="shared" ref="B276" si="17">B275+1</f>
        <v>46037</v>
      </c>
      <c r="C276" s="6">
        <f t="shared" ref="C276" si="18">C275+1</f>
        <v>30</v>
      </c>
      <c r="D276" s="12">
        <f t="shared" si="10"/>
        <v>1</v>
      </c>
      <c r="E276" s="17">
        <v>0</v>
      </c>
      <c r="F276" s="17">
        <v>0</v>
      </c>
      <c r="G276" s="17">
        <v>0</v>
      </c>
    </row>
    <row r="277" spans="1:7" ht="14.5">
      <c r="A277" s="6">
        <f t="shared" si="11"/>
        <v>276</v>
      </c>
      <c r="B277" s="7">
        <f t="shared" ref="B277:B287" si="19">B276+1</f>
        <v>46038</v>
      </c>
      <c r="C277" s="6">
        <f t="shared" ref="C277" si="20">C276+1</f>
        <v>31</v>
      </c>
      <c r="D277" s="12">
        <v>30</v>
      </c>
      <c r="E277" s="17">
        <v>2467</v>
      </c>
      <c r="F277" s="17">
        <v>2467</v>
      </c>
      <c r="G277" s="17">
        <v>0</v>
      </c>
    </row>
    <row r="278" spans="1:7" ht="14.5">
      <c r="A278" s="6">
        <f t="shared" si="11"/>
        <v>277</v>
      </c>
      <c r="B278" s="7">
        <f t="shared" si="19"/>
        <v>46039</v>
      </c>
      <c r="C278" s="6">
        <v>1</v>
      </c>
      <c r="D278" s="12">
        <f t="shared" si="10"/>
        <v>29</v>
      </c>
      <c r="E278" s="17">
        <v>223</v>
      </c>
      <c r="F278" s="17">
        <v>223</v>
      </c>
      <c r="G278" s="17">
        <v>0</v>
      </c>
    </row>
    <row r="279" spans="1:7" ht="14.5">
      <c r="A279" s="6">
        <f t="shared" si="11"/>
        <v>278</v>
      </c>
      <c r="B279" s="7">
        <f t="shared" si="19"/>
        <v>46040</v>
      </c>
      <c r="C279" s="6">
        <f t="shared" ref="C279:C284" si="21">C278+1</f>
        <v>2</v>
      </c>
      <c r="D279" s="12">
        <f t="shared" si="10"/>
        <v>28</v>
      </c>
      <c r="E279" s="17">
        <v>0</v>
      </c>
      <c r="F279" s="17">
        <v>0</v>
      </c>
      <c r="G279" s="17">
        <v>0</v>
      </c>
    </row>
    <row r="280" spans="1:7" ht="14.5">
      <c r="A280" s="6">
        <f t="shared" si="11"/>
        <v>279</v>
      </c>
      <c r="B280" s="7">
        <f t="shared" si="19"/>
        <v>46041</v>
      </c>
      <c r="C280" s="6">
        <f t="shared" si="21"/>
        <v>3</v>
      </c>
      <c r="D280" s="12">
        <f t="shared" si="10"/>
        <v>27</v>
      </c>
      <c r="E280" s="17">
        <v>0</v>
      </c>
      <c r="F280" s="17">
        <v>0</v>
      </c>
      <c r="G280" s="17">
        <v>28</v>
      </c>
    </row>
    <row r="281" spans="1:7" ht="14.5">
      <c r="A281" s="6">
        <f t="shared" si="11"/>
        <v>280</v>
      </c>
      <c r="B281" s="7">
        <f t="shared" si="19"/>
        <v>46042</v>
      </c>
      <c r="C281" s="6">
        <f t="shared" si="21"/>
        <v>4</v>
      </c>
      <c r="D281" s="12">
        <f t="shared" si="10"/>
        <v>26</v>
      </c>
      <c r="E281" s="17">
        <v>0</v>
      </c>
      <c r="F281" s="17">
        <v>0</v>
      </c>
      <c r="G281" s="17">
        <v>0</v>
      </c>
    </row>
    <row r="282" spans="1:7" ht="14.5">
      <c r="A282" s="6">
        <f t="shared" si="11"/>
        <v>281</v>
      </c>
      <c r="B282" s="7">
        <f t="shared" si="19"/>
        <v>46043</v>
      </c>
      <c r="C282" s="6">
        <f t="shared" si="21"/>
        <v>5</v>
      </c>
      <c r="D282" s="12">
        <f t="shared" si="10"/>
        <v>25</v>
      </c>
      <c r="E282" s="17">
        <v>0</v>
      </c>
      <c r="F282" s="17">
        <v>0</v>
      </c>
      <c r="G282" s="17">
        <v>0</v>
      </c>
    </row>
    <row r="283" spans="1:7" ht="14.5">
      <c r="A283" s="6">
        <f t="shared" si="11"/>
        <v>282</v>
      </c>
      <c r="B283" s="7">
        <f t="shared" si="19"/>
        <v>46044</v>
      </c>
      <c r="C283" s="6">
        <f t="shared" si="21"/>
        <v>6</v>
      </c>
      <c r="D283" s="12">
        <f t="shared" si="10"/>
        <v>24</v>
      </c>
      <c r="E283" s="17">
        <v>0</v>
      </c>
      <c r="F283" s="17">
        <v>0</v>
      </c>
      <c r="G283" s="17">
        <v>0</v>
      </c>
    </row>
    <row r="284" spans="1:7" ht="14.5">
      <c r="A284" s="6">
        <f t="shared" si="11"/>
        <v>283</v>
      </c>
      <c r="B284" s="7">
        <f t="shared" si="19"/>
        <v>46045</v>
      </c>
      <c r="C284" s="6">
        <f t="shared" si="21"/>
        <v>7</v>
      </c>
      <c r="D284" s="12">
        <f t="shared" si="10"/>
        <v>23</v>
      </c>
      <c r="E284" s="17">
        <v>0</v>
      </c>
      <c r="F284" s="17">
        <v>0</v>
      </c>
      <c r="G284" s="17">
        <v>0</v>
      </c>
    </row>
    <row r="285" spans="1:7" ht="14.5">
      <c r="A285" s="6">
        <f t="shared" si="11"/>
        <v>284</v>
      </c>
      <c r="B285" s="7">
        <f t="shared" si="19"/>
        <v>46046</v>
      </c>
      <c r="C285" s="6">
        <f t="shared" ref="C285:C287" si="22">C284+1</f>
        <v>8</v>
      </c>
      <c r="D285" s="12">
        <f t="shared" si="10"/>
        <v>22</v>
      </c>
      <c r="E285" s="17">
        <v>440</v>
      </c>
      <c r="F285" s="17">
        <v>425</v>
      </c>
      <c r="G285" s="17">
        <v>0</v>
      </c>
    </row>
    <row r="286" spans="1:7" ht="14.5">
      <c r="A286" s="6">
        <f t="shared" si="11"/>
        <v>285</v>
      </c>
      <c r="B286" s="7">
        <f t="shared" si="19"/>
        <v>46047</v>
      </c>
      <c r="C286" s="6">
        <f t="shared" si="22"/>
        <v>9</v>
      </c>
      <c r="D286" s="12">
        <f t="shared" si="10"/>
        <v>21</v>
      </c>
      <c r="E286" s="17">
        <v>5</v>
      </c>
      <c r="F286" s="17">
        <v>2</v>
      </c>
      <c r="G286" s="17">
        <v>0</v>
      </c>
    </row>
    <row r="287" spans="1:7" ht="14.5">
      <c r="A287" s="6">
        <f t="shared" si="11"/>
        <v>286</v>
      </c>
      <c r="B287" s="7">
        <f t="shared" si="19"/>
        <v>46048</v>
      </c>
      <c r="C287" s="6">
        <f t="shared" si="22"/>
        <v>10</v>
      </c>
      <c r="D287" s="12">
        <f t="shared" si="10"/>
        <v>20</v>
      </c>
      <c r="E287" s="17">
        <v>18</v>
      </c>
      <c r="F287" s="17">
        <v>18</v>
      </c>
      <c r="G287" s="17">
        <v>0</v>
      </c>
    </row>
    <row r="288" spans="1:7" ht="14.5">
      <c r="A288" s="6">
        <f t="shared" si="11"/>
        <v>287</v>
      </c>
      <c r="B288" s="7">
        <f t="shared" ref="B288:C290" si="23">B287+1</f>
        <v>46049</v>
      </c>
      <c r="C288" s="6">
        <f t="shared" si="23"/>
        <v>11</v>
      </c>
      <c r="D288" s="12">
        <f t="shared" ref="D288:D293" si="24">D287-1</f>
        <v>19</v>
      </c>
      <c r="E288" s="17">
        <v>148</v>
      </c>
      <c r="F288" s="17">
        <v>148</v>
      </c>
      <c r="G288" s="17">
        <v>0</v>
      </c>
    </row>
    <row r="289" spans="1:7" ht="14.5">
      <c r="A289" s="6">
        <f t="shared" si="11"/>
        <v>288</v>
      </c>
      <c r="B289" s="7">
        <f t="shared" si="23"/>
        <v>46050</v>
      </c>
      <c r="C289" s="6">
        <f t="shared" si="23"/>
        <v>12</v>
      </c>
      <c r="D289" s="12">
        <f t="shared" si="24"/>
        <v>18</v>
      </c>
      <c r="E289" s="17">
        <v>0</v>
      </c>
      <c r="F289" s="17">
        <v>0</v>
      </c>
      <c r="G289" s="17">
        <v>0</v>
      </c>
    </row>
    <row r="290" spans="1:7" ht="14.5">
      <c r="A290" s="6">
        <f t="shared" si="11"/>
        <v>289</v>
      </c>
      <c r="B290" s="7">
        <f t="shared" si="23"/>
        <v>46051</v>
      </c>
      <c r="C290" s="6">
        <f t="shared" si="23"/>
        <v>13</v>
      </c>
      <c r="D290" s="12">
        <f t="shared" si="24"/>
        <v>17</v>
      </c>
      <c r="E290" s="17">
        <v>0</v>
      </c>
      <c r="F290" s="17">
        <v>0</v>
      </c>
      <c r="G290" s="17">
        <v>0</v>
      </c>
    </row>
    <row r="291" spans="1:7" ht="14.5">
      <c r="A291" s="6">
        <f t="shared" si="11"/>
        <v>290</v>
      </c>
      <c r="B291" s="7">
        <f t="shared" ref="B291:B306" si="25">B290+1</f>
        <v>46052</v>
      </c>
      <c r="C291" s="6">
        <f t="shared" ref="C291:C306" si="26">C290+1</f>
        <v>14</v>
      </c>
      <c r="D291" s="12">
        <f t="shared" si="24"/>
        <v>16</v>
      </c>
      <c r="E291" s="17">
        <v>0</v>
      </c>
      <c r="F291" s="17">
        <v>0</v>
      </c>
      <c r="G291" s="17">
        <v>0</v>
      </c>
    </row>
    <row r="292" spans="1:7" ht="14.5">
      <c r="A292" s="6">
        <f t="shared" si="11"/>
        <v>291</v>
      </c>
      <c r="B292" s="7">
        <f t="shared" si="25"/>
        <v>46053</v>
      </c>
      <c r="C292" s="6">
        <f t="shared" si="26"/>
        <v>15</v>
      </c>
      <c r="D292" s="12">
        <f t="shared" si="24"/>
        <v>15</v>
      </c>
      <c r="E292" s="17">
        <v>8</v>
      </c>
      <c r="F292" s="17">
        <v>8</v>
      </c>
      <c r="G292" s="17">
        <v>0</v>
      </c>
    </row>
    <row r="293" spans="1:7" ht="14.5">
      <c r="A293" s="6">
        <f t="shared" si="11"/>
        <v>292</v>
      </c>
      <c r="B293" s="7">
        <f t="shared" si="25"/>
        <v>46054</v>
      </c>
      <c r="C293" s="6">
        <f t="shared" si="26"/>
        <v>16</v>
      </c>
      <c r="D293" s="12">
        <f t="shared" si="24"/>
        <v>14</v>
      </c>
      <c r="E293" s="17">
        <v>683</v>
      </c>
      <c r="F293" s="17">
        <v>683</v>
      </c>
      <c r="G293" s="17">
        <v>1</v>
      </c>
    </row>
    <row r="294" spans="1:7" ht="14.5">
      <c r="A294" s="6">
        <f t="shared" si="11"/>
        <v>293</v>
      </c>
      <c r="B294" s="7">
        <f t="shared" si="25"/>
        <v>46055</v>
      </c>
      <c r="C294" s="6">
        <f t="shared" si="26"/>
        <v>17</v>
      </c>
      <c r="D294" s="12">
        <f t="shared" ref="D294:D306" si="27">D293-1</f>
        <v>13</v>
      </c>
      <c r="E294" s="17">
        <v>51</v>
      </c>
      <c r="F294" s="17">
        <v>51</v>
      </c>
      <c r="G294" s="17">
        <v>0</v>
      </c>
    </row>
    <row r="295" spans="1:7" ht="14.5">
      <c r="A295" s="6">
        <f t="shared" si="11"/>
        <v>294</v>
      </c>
      <c r="B295" s="7">
        <f t="shared" si="25"/>
        <v>46056</v>
      </c>
      <c r="C295" s="6">
        <f t="shared" si="26"/>
        <v>18</v>
      </c>
      <c r="D295" s="12">
        <f t="shared" si="27"/>
        <v>12</v>
      </c>
      <c r="E295" s="17">
        <v>38</v>
      </c>
      <c r="F295" s="17">
        <v>38</v>
      </c>
      <c r="G295" s="17">
        <v>0</v>
      </c>
    </row>
    <row r="296" spans="1:7" ht="14.5">
      <c r="A296" s="6">
        <f t="shared" si="11"/>
        <v>295</v>
      </c>
      <c r="B296" s="7">
        <f t="shared" si="25"/>
        <v>46057</v>
      </c>
      <c r="C296" s="6">
        <f t="shared" si="26"/>
        <v>19</v>
      </c>
      <c r="D296" s="12">
        <f t="shared" si="27"/>
        <v>11</v>
      </c>
      <c r="E296" s="17">
        <v>0</v>
      </c>
      <c r="F296" s="17">
        <v>0</v>
      </c>
      <c r="G296" s="17">
        <v>0</v>
      </c>
    </row>
    <row r="297" spans="1:7" ht="14.5">
      <c r="A297" s="6">
        <f t="shared" si="11"/>
        <v>296</v>
      </c>
      <c r="B297" s="7">
        <f t="shared" si="25"/>
        <v>46058</v>
      </c>
      <c r="C297" s="6">
        <f t="shared" si="26"/>
        <v>20</v>
      </c>
      <c r="D297" s="12">
        <f t="shared" si="27"/>
        <v>10</v>
      </c>
      <c r="E297" s="17">
        <v>0</v>
      </c>
      <c r="F297" s="17">
        <v>0</v>
      </c>
      <c r="G297" s="17">
        <v>0</v>
      </c>
    </row>
    <row r="298" spans="1:7" ht="14.5">
      <c r="A298" s="6">
        <f t="shared" si="11"/>
        <v>297</v>
      </c>
      <c r="B298" s="7">
        <f t="shared" si="25"/>
        <v>46059</v>
      </c>
      <c r="C298" s="6">
        <f t="shared" si="26"/>
        <v>21</v>
      </c>
      <c r="D298" s="12">
        <f t="shared" si="27"/>
        <v>9</v>
      </c>
      <c r="E298" s="17">
        <v>80</v>
      </c>
      <c r="F298" s="17">
        <v>80</v>
      </c>
      <c r="G298" s="17">
        <v>0</v>
      </c>
    </row>
    <row r="299" spans="1:7" ht="14.5">
      <c r="A299" s="6">
        <f t="shared" si="11"/>
        <v>298</v>
      </c>
      <c r="B299" s="7">
        <f t="shared" si="25"/>
        <v>46060</v>
      </c>
      <c r="C299" s="6">
        <f t="shared" si="26"/>
        <v>22</v>
      </c>
      <c r="D299" s="12">
        <f t="shared" si="27"/>
        <v>8</v>
      </c>
      <c r="E299" s="17">
        <v>0</v>
      </c>
      <c r="F299" s="17">
        <v>0</v>
      </c>
      <c r="G299" s="17">
        <v>0</v>
      </c>
    </row>
    <row r="300" spans="1:7" ht="14.5">
      <c r="A300" s="6">
        <f t="shared" si="11"/>
        <v>299</v>
      </c>
      <c r="B300" s="7">
        <f t="shared" si="25"/>
        <v>46061</v>
      </c>
      <c r="C300" s="6">
        <f t="shared" si="26"/>
        <v>23</v>
      </c>
      <c r="D300" s="12">
        <f t="shared" si="27"/>
        <v>7</v>
      </c>
      <c r="E300" s="17">
        <v>89</v>
      </c>
      <c r="F300" s="17">
        <v>87</v>
      </c>
      <c r="G300" s="17">
        <v>0</v>
      </c>
    </row>
    <row r="301" spans="1:7" ht="14.5">
      <c r="A301" s="6">
        <f t="shared" si="11"/>
        <v>300</v>
      </c>
      <c r="B301" s="7">
        <f t="shared" si="25"/>
        <v>46062</v>
      </c>
      <c r="C301" s="6">
        <f t="shared" si="26"/>
        <v>24</v>
      </c>
      <c r="D301" s="12">
        <f t="shared" si="27"/>
        <v>6</v>
      </c>
      <c r="E301" s="17">
        <v>0</v>
      </c>
      <c r="F301" s="17">
        <v>0</v>
      </c>
      <c r="G301" s="17">
        <v>0</v>
      </c>
    </row>
    <row r="302" spans="1:7" ht="14.5">
      <c r="A302" s="6">
        <f t="shared" si="11"/>
        <v>301</v>
      </c>
      <c r="B302" s="7">
        <f t="shared" si="25"/>
        <v>46063</v>
      </c>
      <c r="C302" s="6">
        <f t="shared" si="26"/>
        <v>25</v>
      </c>
      <c r="D302" s="12">
        <f t="shared" si="27"/>
        <v>5</v>
      </c>
      <c r="E302" s="17">
        <v>32</v>
      </c>
      <c r="F302" s="17">
        <v>32</v>
      </c>
      <c r="G302" s="17">
        <v>0</v>
      </c>
    </row>
    <row r="303" spans="1:7" ht="14.5">
      <c r="A303" s="6">
        <f t="shared" si="11"/>
        <v>302</v>
      </c>
      <c r="B303" s="7">
        <f t="shared" si="25"/>
        <v>46064</v>
      </c>
      <c r="C303" s="6">
        <f t="shared" si="26"/>
        <v>26</v>
      </c>
      <c r="D303" s="12">
        <f t="shared" si="27"/>
        <v>4</v>
      </c>
      <c r="E303" s="17">
        <v>44</v>
      </c>
      <c r="F303" s="17">
        <v>44</v>
      </c>
      <c r="G303" s="17">
        <v>0</v>
      </c>
    </row>
    <row r="304" spans="1:7" ht="14.5">
      <c r="A304" s="6">
        <f t="shared" si="11"/>
        <v>303</v>
      </c>
      <c r="B304" s="7">
        <f t="shared" si="25"/>
        <v>46065</v>
      </c>
      <c r="C304" s="6">
        <f t="shared" si="26"/>
        <v>27</v>
      </c>
      <c r="D304" s="12">
        <f t="shared" si="27"/>
        <v>3</v>
      </c>
      <c r="E304" s="17">
        <v>48</v>
      </c>
      <c r="F304" s="17">
        <v>48</v>
      </c>
      <c r="G304" s="17">
        <v>0</v>
      </c>
    </row>
    <row r="305" spans="1:7" ht="14.5">
      <c r="A305" s="6">
        <f t="shared" si="11"/>
        <v>304</v>
      </c>
      <c r="B305" s="7">
        <f t="shared" si="25"/>
        <v>46066</v>
      </c>
      <c r="C305" s="6">
        <f t="shared" si="26"/>
        <v>28</v>
      </c>
      <c r="D305" s="12">
        <f t="shared" si="27"/>
        <v>2</v>
      </c>
      <c r="E305" s="17">
        <v>0</v>
      </c>
      <c r="F305" s="17">
        <v>0</v>
      </c>
      <c r="G305" s="17">
        <v>0</v>
      </c>
    </row>
    <row r="306" spans="1:7" ht="14.5">
      <c r="A306" s="6">
        <f t="shared" si="11"/>
        <v>305</v>
      </c>
      <c r="B306" s="7">
        <f t="shared" si="25"/>
        <v>46067</v>
      </c>
      <c r="C306" s="6">
        <f t="shared" si="26"/>
        <v>29</v>
      </c>
      <c r="D306" s="12">
        <f t="shared" si="27"/>
        <v>1</v>
      </c>
      <c r="E306" s="17">
        <v>917</v>
      </c>
      <c r="F306" s="17">
        <v>550</v>
      </c>
      <c r="G306" s="17">
        <v>0</v>
      </c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C3B-0571-4A35-9FD2-A50C21726EAB}">
  <dimension ref="A1:I347"/>
  <sheetViews>
    <sheetView showGridLines="0" workbookViewId="0">
      <pane xSplit="1" ySplit="1" topLeftCell="B328" activePane="bottomRight" state="frozen"/>
      <selection pane="topRight" activeCell="B1" sqref="B1"/>
      <selection pane="bottomLeft" activeCell="A2" sqref="A2"/>
      <selection pane="bottomRight" activeCell="A348" sqref="A348"/>
    </sheetView>
  </sheetViews>
  <sheetFormatPr defaultRowHeight="13"/>
  <cols>
    <col min="1" max="1" width="11.36328125" bestFit="1" customWidth="1"/>
    <col min="2" max="2" width="11" bestFit="1" customWidth="1"/>
    <col min="3" max="4" width="11.6328125" bestFit="1" customWidth="1"/>
    <col min="5" max="5" width="12.3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>
      <c r="A1" s="28" t="s">
        <v>20</v>
      </c>
      <c r="B1" s="28" t="s">
        <v>12</v>
      </c>
      <c r="C1" s="28" t="s">
        <v>15</v>
      </c>
      <c r="D1" s="28" t="s">
        <v>21</v>
      </c>
      <c r="E1" s="29" t="s">
        <v>22</v>
      </c>
      <c r="F1" s="28" t="s">
        <v>14</v>
      </c>
      <c r="G1" s="28" t="s">
        <v>24</v>
      </c>
      <c r="H1" s="28" t="s">
        <v>17</v>
      </c>
      <c r="I1" s="28" t="s">
        <v>18</v>
      </c>
    </row>
    <row r="2" spans="1:9">
      <c r="A2" s="24">
        <v>45900</v>
      </c>
      <c r="B2" s="23" t="s">
        <v>13</v>
      </c>
      <c r="C2" s="25">
        <v>15823734</v>
      </c>
      <c r="D2" s="25">
        <v>1206042</v>
      </c>
      <c r="E2" s="25">
        <v>8963</v>
      </c>
      <c r="F2" s="25">
        <v>188486</v>
      </c>
      <c r="G2" s="25">
        <v>17227225</v>
      </c>
      <c r="H2" s="26">
        <v>6.61</v>
      </c>
      <c r="I2" s="27">
        <v>0</v>
      </c>
    </row>
    <row r="3" spans="1:9">
      <c r="A3" s="24">
        <v>45900</v>
      </c>
      <c r="B3" s="23" t="s">
        <v>19</v>
      </c>
      <c r="C3" s="25">
        <v>15823734</v>
      </c>
      <c r="D3" s="25">
        <v>1206042</v>
      </c>
      <c r="E3" s="25">
        <v>8963</v>
      </c>
      <c r="F3" s="25">
        <v>188486</v>
      </c>
      <c r="G3" s="25">
        <v>17227225</v>
      </c>
      <c r="H3" s="26">
        <v>6.61</v>
      </c>
      <c r="I3" s="27">
        <v>0</v>
      </c>
    </row>
    <row r="4" spans="1:9">
      <c r="A4" s="24">
        <v>45901</v>
      </c>
      <c r="B4" s="23" t="s">
        <v>13</v>
      </c>
      <c r="C4" s="25">
        <v>20107172</v>
      </c>
      <c r="D4" s="25">
        <v>1430162</v>
      </c>
      <c r="E4" s="25">
        <v>8963</v>
      </c>
      <c r="F4" s="25">
        <v>223730</v>
      </c>
      <c r="G4" s="25">
        <v>21770027</v>
      </c>
      <c r="H4" s="26">
        <v>8.17</v>
      </c>
      <c r="I4" s="27">
        <v>0</v>
      </c>
    </row>
    <row r="5" spans="1:9">
      <c r="A5" s="24">
        <v>45901</v>
      </c>
      <c r="B5" s="23" t="s">
        <v>19</v>
      </c>
      <c r="C5" s="25">
        <v>20107172</v>
      </c>
      <c r="D5" s="25">
        <v>1430162</v>
      </c>
      <c r="E5" s="25">
        <v>8963</v>
      </c>
      <c r="F5" s="25">
        <v>223730</v>
      </c>
      <c r="G5" s="25">
        <v>21770027</v>
      </c>
      <c r="H5" s="26">
        <v>8.17</v>
      </c>
      <c r="I5" s="27">
        <v>0</v>
      </c>
    </row>
    <row r="6" spans="1:9">
      <c r="A6" s="24">
        <v>45902</v>
      </c>
      <c r="B6" s="23" t="s">
        <v>13</v>
      </c>
      <c r="C6" s="25">
        <v>20242560</v>
      </c>
      <c r="D6" s="25">
        <v>1452285</v>
      </c>
      <c r="E6" s="25">
        <v>8963</v>
      </c>
      <c r="F6" s="25">
        <v>229506</v>
      </c>
      <c r="G6" s="25">
        <v>21933314</v>
      </c>
      <c r="H6" s="26">
        <v>8.26</v>
      </c>
      <c r="I6" s="27">
        <v>0</v>
      </c>
    </row>
    <row r="7" spans="1:9">
      <c r="A7" s="24">
        <v>45902</v>
      </c>
      <c r="B7" s="23" t="s">
        <v>19</v>
      </c>
      <c r="C7" s="25">
        <v>20242560</v>
      </c>
      <c r="D7" s="25">
        <v>1452285</v>
      </c>
      <c r="E7" s="25">
        <v>8963</v>
      </c>
      <c r="F7" s="25">
        <v>229506</v>
      </c>
      <c r="G7" s="25">
        <v>21933314</v>
      </c>
      <c r="H7" s="26">
        <v>8.26</v>
      </c>
      <c r="I7" s="27">
        <v>0</v>
      </c>
    </row>
    <row r="8" spans="1:9">
      <c r="A8" s="24">
        <v>45903</v>
      </c>
      <c r="B8" s="23" t="s">
        <v>13</v>
      </c>
      <c r="C8" s="25">
        <v>20242560</v>
      </c>
      <c r="D8" s="25">
        <v>1452285</v>
      </c>
      <c r="E8" s="25">
        <v>8963</v>
      </c>
      <c r="F8" s="25">
        <v>229506</v>
      </c>
      <c r="G8" s="25">
        <v>21933314</v>
      </c>
      <c r="H8" s="26">
        <v>8.26</v>
      </c>
      <c r="I8" s="27">
        <v>0</v>
      </c>
    </row>
    <row r="9" spans="1:9">
      <c r="A9" s="24">
        <v>45903</v>
      </c>
      <c r="B9" s="23" t="s">
        <v>19</v>
      </c>
      <c r="C9" s="25">
        <v>20242560</v>
      </c>
      <c r="D9" s="25">
        <v>1452285</v>
      </c>
      <c r="E9" s="25">
        <v>8963</v>
      </c>
      <c r="F9" s="25">
        <v>229506</v>
      </c>
      <c r="G9" s="25">
        <v>21933314</v>
      </c>
      <c r="H9" s="26">
        <v>8.26</v>
      </c>
      <c r="I9" s="27">
        <v>0</v>
      </c>
    </row>
    <row r="10" spans="1:9">
      <c r="A10" s="24">
        <v>45904</v>
      </c>
      <c r="B10" s="23" t="s">
        <v>13</v>
      </c>
      <c r="C10" s="25">
        <v>20520135</v>
      </c>
      <c r="D10" s="25">
        <v>1476245</v>
      </c>
      <c r="E10" s="25">
        <v>8963</v>
      </c>
      <c r="F10" s="25">
        <v>232987</v>
      </c>
      <c r="G10" s="25">
        <v>22238330</v>
      </c>
      <c r="H10" s="26">
        <v>8.3800000000000008</v>
      </c>
      <c r="I10" s="27">
        <v>0</v>
      </c>
    </row>
    <row r="11" spans="1:9">
      <c r="A11" s="24">
        <v>45904</v>
      </c>
      <c r="B11" s="23" t="s">
        <v>19</v>
      </c>
      <c r="C11" s="25">
        <v>20520135</v>
      </c>
      <c r="D11" s="25">
        <v>1476245</v>
      </c>
      <c r="E11" s="25">
        <v>8963</v>
      </c>
      <c r="F11" s="25">
        <v>232987</v>
      </c>
      <c r="G11" s="25">
        <v>22238330</v>
      </c>
      <c r="H11" s="26">
        <v>8.3800000000000008</v>
      </c>
      <c r="I11" s="27">
        <v>0</v>
      </c>
    </row>
    <row r="12" spans="1:9">
      <c r="A12" s="24">
        <v>45905</v>
      </c>
      <c r="B12" s="23" t="s">
        <v>13</v>
      </c>
      <c r="C12" s="25">
        <v>20520135</v>
      </c>
      <c r="D12" s="25">
        <v>1476245</v>
      </c>
      <c r="E12" s="25">
        <v>8963</v>
      </c>
      <c r="F12" s="25">
        <v>232987</v>
      </c>
      <c r="G12" s="25">
        <v>22238330</v>
      </c>
      <c r="H12" s="26">
        <v>8.3800000000000008</v>
      </c>
      <c r="I12" s="27">
        <v>0</v>
      </c>
    </row>
    <row r="13" spans="1:9">
      <c r="A13" s="24">
        <v>45905</v>
      </c>
      <c r="B13" s="23" t="s">
        <v>19</v>
      </c>
      <c r="C13" s="25">
        <v>20520135</v>
      </c>
      <c r="D13" s="25">
        <v>1476245</v>
      </c>
      <c r="E13" s="25">
        <v>8963</v>
      </c>
      <c r="F13" s="25">
        <v>232987</v>
      </c>
      <c r="G13" s="25">
        <v>22238330</v>
      </c>
      <c r="H13" s="26">
        <v>8.3800000000000008</v>
      </c>
      <c r="I13" s="27">
        <v>0</v>
      </c>
    </row>
    <row r="14" spans="1:9">
      <c r="A14" s="24">
        <v>45906</v>
      </c>
      <c r="B14" s="23" t="s">
        <v>13</v>
      </c>
      <c r="C14" s="25">
        <v>25450720</v>
      </c>
      <c r="D14" s="25">
        <v>1636486</v>
      </c>
      <c r="E14" s="25">
        <v>11759</v>
      </c>
      <c r="F14" s="25">
        <v>293104</v>
      </c>
      <c r="G14" s="25">
        <v>27392069</v>
      </c>
      <c r="H14" s="26">
        <v>10.18</v>
      </c>
      <c r="I14" s="27">
        <v>0</v>
      </c>
    </row>
    <row r="15" spans="1:9">
      <c r="A15" s="24">
        <v>45906</v>
      </c>
      <c r="B15" s="23" t="s">
        <v>19</v>
      </c>
      <c r="C15" s="25">
        <v>25450720</v>
      </c>
      <c r="D15" s="25">
        <v>1636486</v>
      </c>
      <c r="E15" s="25">
        <v>11759</v>
      </c>
      <c r="F15" s="25">
        <v>293104</v>
      </c>
      <c r="G15" s="25">
        <v>27392069</v>
      </c>
      <c r="H15" s="26">
        <v>10.18</v>
      </c>
      <c r="I15" s="27">
        <v>0</v>
      </c>
    </row>
    <row r="16" spans="1:9">
      <c r="A16" s="24">
        <v>45907</v>
      </c>
      <c r="B16" s="23" t="s">
        <v>13</v>
      </c>
      <c r="C16" s="25">
        <v>26272416</v>
      </c>
      <c r="D16" s="25">
        <v>1716132</v>
      </c>
      <c r="E16" s="25">
        <v>11759</v>
      </c>
      <c r="F16" s="25">
        <v>303951</v>
      </c>
      <c r="G16" s="25">
        <v>28304258</v>
      </c>
      <c r="H16" s="26">
        <v>10.55</v>
      </c>
      <c r="I16" s="27">
        <v>0</v>
      </c>
    </row>
    <row r="17" spans="1:9">
      <c r="A17" s="24">
        <v>45907</v>
      </c>
      <c r="B17" s="23" t="s">
        <v>19</v>
      </c>
      <c r="C17" s="25">
        <v>26272416</v>
      </c>
      <c r="D17" s="25">
        <v>1716132</v>
      </c>
      <c r="E17" s="25">
        <v>11759</v>
      </c>
      <c r="F17" s="25">
        <v>303951</v>
      </c>
      <c r="G17" s="25">
        <v>28304258</v>
      </c>
      <c r="H17" s="26">
        <v>10.55</v>
      </c>
      <c r="I17" s="27">
        <v>0</v>
      </c>
    </row>
    <row r="18" spans="1:9">
      <c r="A18" s="24">
        <v>45908</v>
      </c>
      <c r="B18" s="23" t="s">
        <v>13</v>
      </c>
      <c r="C18" s="25">
        <v>38630209</v>
      </c>
      <c r="D18" s="25">
        <v>2328394</v>
      </c>
      <c r="E18" s="25">
        <v>13266</v>
      </c>
      <c r="F18" s="25">
        <v>427084</v>
      </c>
      <c r="G18" s="25">
        <v>41398953</v>
      </c>
      <c r="H18" s="26">
        <v>15.15</v>
      </c>
      <c r="I18" s="27">
        <v>0</v>
      </c>
    </row>
    <row r="19" spans="1:9">
      <c r="A19" s="24">
        <v>45908</v>
      </c>
      <c r="B19" s="23" t="s">
        <v>19</v>
      </c>
      <c r="C19" s="25">
        <v>38630209</v>
      </c>
      <c r="D19" s="25">
        <v>2328394</v>
      </c>
      <c r="E19" s="25">
        <v>13266</v>
      </c>
      <c r="F19" s="25">
        <v>427084</v>
      </c>
      <c r="G19" s="25">
        <v>41398953</v>
      </c>
      <c r="H19" s="26">
        <v>15.15</v>
      </c>
      <c r="I19" s="27">
        <v>0</v>
      </c>
    </row>
    <row r="20" spans="1:9">
      <c r="A20" s="24">
        <v>45909</v>
      </c>
      <c r="B20" s="23" t="s">
        <v>13</v>
      </c>
      <c r="C20" s="25">
        <v>45748356</v>
      </c>
      <c r="D20" s="25">
        <v>2560523</v>
      </c>
      <c r="E20" s="25">
        <v>13266</v>
      </c>
      <c r="F20" s="25">
        <v>471344</v>
      </c>
      <c r="G20" s="25">
        <v>48793489</v>
      </c>
      <c r="H20" s="26">
        <v>17.48</v>
      </c>
      <c r="I20" s="27">
        <v>0</v>
      </c>
    </row>
    <row r="21" spans="1:9">
      <c r="A21" s="24">
        <v>45909</v>
      </c>
      <c r="B21" s="23" t="s">
        <v>19</v>
      </c>
      <c r="C21" s="25">
        <v>45748356</v>
      </c>
      <c r="D21" s="25">
        <v>2560523</v>
      </c>
      <c r="E21" s="25">
        <v>13266</v>
      </c>
      <c r="F21" s="25">
        <v>471344</v>
      </c>
      <c r="G21" s="25">
        <v>48793489</v>
      </c>
      <c r="H21" s="26">
        <v>17.48</v>
      </c>
      <c r="I21" s="27">
        <v>0</v>
      </c>
    </row>
    <row r="22" spans="1:9">
      <c r="A22" s="24">
        <v>45910</v>
      </c>
      <c r="B22" s="23" t="s">
        <v>13</v>
      </c>
      <c r="C22" s="25">
        <v>49225661</v>
      </c>
      <c r="D22" s="25">
        <v>2717481</v>
      </c>
      <c r="E22" s="25">
        <v>14372</v>
      </c>
      <c r="F22" s="25">
        <v>508329</v>
      </c>
      <c r="G22" s="25">
        <v>52465843</v>
      </c>
      <c r="H22" s="26">
        <v>18.77</v>
      </c>
      <c r="I22" s="27">
        <v>0</v>
      </c>
    </row>
    <row r="23" spans="1:9">
      <c r="A23" s="24">
        <v>45910</v>
      </c>
      <c r="B23" s="23" t="s">
        <v>19</v>
      </c>
      <c r="C23" s="25">
        <v>49225661</v>
      </c>
      <c r="D23" s="25">
        <v>2717481</v>
      </c>
      <c r="E23" s="25">
        <v>14372</v>
      </c>
      <c r="F23" s="25">
        <v>508329</v>
      </c>
      <c r="G23" s="25">
        <v>52465843</v>
      </c>
      <c r="H23" s="26">
        <v>18.77</v>
      </c>
      <c r="I23" s="27">
        <v>0</v>
      </c>
    </row>
    <row r="24" spans="1:9">
      <c r="A24" s="24">
        <v>45911</v>
      </c>
      <c r="B24" s="23" t="s">
        <v>13</v>
      </c>
      <c r="C24" s="25">
        <v>55028962</v>
      </c>
      <c r="D24" s="25">
        <v>2941587</v>
      </c>
      <c r="E24" s="25">
        <v>21381</v>
      </c>
      <c r="F24" s="25">
        <v>545820</v>
      </c>
      <c r="G24" s="25">
        <v>58537750</v>
      </c>
      <c r="H24" s="26">
        <v>20.74</v>
      </c>
      <c r="I24" s="27">
        <v>0</v>
      </c>
    </row>
    <row r="25" spans="1:9">
      <c r="A25" s="24">
        <v>45911</v>
      </c>
      <c r="B25" s="23" t="s">
        <v>19</v>
      </c>
      <c r="C25" s="25">
        <v>55028962</v>
      </c>
      <c r="D25" s="25">
        <v>2941587</v>
      </c>
      <c r="E25" s="25">
        <v>21381</v>
      </c>
      <c r="F25" s="25">
        <v>545820</v>
      </c>
      <c r="G25" s="25">
        <v>58537750</v>
      </c>
      <c r="H25" s="26">
        <v>20.74</v>
      </c>
      <c r="I25" s="27">
        <v>0</v>
      </c>
    </row>
    <row r="26" spans="1:9">
      <c r="A26" s="24">
        <v>45912</v>
      </c>
      <c r="B26" s="23" t="s">
        <v>13</v>
      </c>
      <c r="C26" s="25">
        <v>59181635</v>
      </c>
      <c r="D26" s="25">
        <v>3120342</v>
      </c>
      <c r="E26" s="25">
        <v>21381</v>
      </c>
      <c r="F26" s="25">
        <v>599548</v>
      </c>
      <c r="G26" s="25">
        <v>62922906</v>
      </c>
      <c r="H26" s="26">
        <v>22.32</v>
      </c>
      <c r="I26" s="27">
        <v>0</v>
      </c>
    </row>
    <row r="27" spans="1:9">
      <c r="A27" s="24">
        <v>45912</v>
      </c>
      <c r="B27" s="23" t="s">
        <v>19</v>
      </c>
      <c r="C27" s="25">
        <v>59181635</v>
      </c>
      <c r="D27" s="25">
        <v>3120342</v>
      </c>
      <c r="E27" s="25">
        <v>21381</v>
      </c>
      <c r="F27" s="25">
        <v>599548</v>
      </c>
      <c r="G27" s="25">
        <v>62922906</v>
      </c>
      <c r="H27" s="26">
        <v>22.32</v>
      </c>
      <c r="I27" s="27">
        <v>0</v>
      </c>
    </row>
    <row r="28" spans="1:9">
      <c r="A28" s="24">
        <v>45913</v>
      </c>
      <c r="B28" s="23" t="s">
        <v>13</v>
      </c>
      <c r="C28" s="25">
        <v>59181635</v>
      </c>
      <c r="D28" s="25">
        <v>3120342</v>
      </c>
      <c r="E28" s="25">
        <v>21381</v>
      </c>
      <c r="F28" s="25">
        <v>599548</v>
      </c>
      <c r="G28" s="25">
        <v>62922906</v>
      </c>
      <c r="H28" s="26">
        <v>22.32</v>
      </c>
      <c r="I28" s="27">
        <v>0</v>
      </c>
    </row>
    <row r="29" spans="1:9">
      <c r="A29" s="24">
        <v>45913</v>
      </c>
      <c r="B29" s="23" t="s">
        <v>19</v>
      </c>
      <c r="C29" s="25">
        <v>59181635</v>
      </c>
      <c r="D29" s="25">
        <v>3120342</v>
      </c>
      <c r="E29" s="25">
        <v>21381</v>
      </c>
      <c r="F29" s="25">
        <v>599548</v>
      </c>
      <c r="G29" s="25">
        <v>62922906</v>
      </c>
      <c r="H29" s="26">
        <v>22.32</v>
      </c>
      <c r="I29" s="27">
        <v>0</v>
      </c>
    </row>
    <row r="30" spans="1:9">
      <c r="A30" s="24">
        <v>45914</v>
      </c>
      <c r="B30" s="23" t="s">
        <v>13</v>
      </c>
      <c r="C30" s="25">
        <v>73714552</v>
      </c>
      <c r="D30" s="25">
        <v>3653959</v>
      </c>
      <c r="E30" s="25">
        <v>21381</v>
      </c>
      <c r="F30" s="25">
        <v>758478</v>
      </c>
      <c r="G30" s="25">
        <v>78148370</v>
      </c>
      <c r="H30" s="26">
        <v>27.57</v>
      </c>
      <c r="I30" s="27">
        <v>0</v>
      </c>
    </row>
    <row r="31" spans="1:9">
      <c r="A31" s="24">
        <v>45914</v>
      </c>
      <c r="B31" s="23" t="s">
        <v>19</v>
      </c>
      <c r="C31" s="25">
        <v>73714552</v>
      </c>
      <c r="D31" s="25">
        <v>3653959</v>
      </c>
      <c r="E31" s="25">
        <v>21381</v>
      </c>
      <c r="F31" s="25">
        <v>758478</v>
      </c>
      <c r="G31" s="25">
        <v>78148370</v>
      </c>
      <c r="H31" s="26">
        <v>27.57</v>
      </c>
      <c r="I31" s="27">
        <v>0</v>
      </c>
    </row>
    <row r="32" spans="1:9">
      <c r="A32" s="24">
        <v>45915</v>
      </c>
      <c r="B32" s="23" t="s">
        <v>13</v>
      </c>
      <c r="C32" s="25">
        <v>86796932</v>
      </c>
      <c r="D32" s="25">
        <v>4420190</v>
      </c>
      <c r="E32" s="25">
        <v>21381</v>
      </c>
      <c r="F32" s="25">
        <v>860803</v>
      </c>
      <c r="G32" s="25">
        <v>92099306</v>
      </c>
      <c r="H32" s="26">
        <v>32.42</v>
      </c>
      <c r="I32" s="27">
        <v>0</v>
      </c>
    </row>
    <row r="33" spans="1:9">
      <c r="A33" s="24">
        <v>45915</v>
      </c>
      <c r="B33" s="23" t="s">
        <v>19</v>
      </c>
      <c r="C33" s="25">
        <v>86796932</v>
      </c>
      <c r="D33" s="25">
        <v>4420190</v>
      </c>
      <c r="E33" s="25">
        <v>21381</v>
      </c>
      <c r="F33" s="25">
        <v>860803</v>
      </c>
      <c r="G33" s="25">
        <v>92099306</v>
      </c>
      <c r="H33" s="26">
        <v>32.42</v>
      </c>
      <c r="I33" s="27">
        <v>0</v>
      </c>
    </row>
    <row r="34" spans="1:9">
      <c r="A34" s="24">
        <v>45916</v>
      </c>
      <c r="B34" s="23" t="s">
        <v>13</v>
      </c>
      <c r="C34" s="25">
        <v>86796932</v>
      </c>
      <c r="D34" s="25">
        <v>4420190</v>
      </c>
      <c r="E34" s="25">
        <v>21381</v>
      </c>
      <c r="F34" s="25">
        <v>860803</v>
      </c>
      <c r="G34" s="25">
        <v>92099306</v>
      </c>
      <c r="H34" s="26">
        <v>32.42</v>
      </c>
      <c r="I34" s="27">
        <v>0</v>
      </c>
    </row>
    <row r="35" spans="1:9">
      <c r="A35" s="24">
        <v>45916</v>
      </c>
      <c r="B35" s="23" t="s">
        <v>19</v>
      </c>
      <c r="C35" s="25">
        <v>86796932</v>
      </c>
      <c r="D35" s="25">
        <v>4420190</v>
      </c>
      <c r="E35" s="25">
        <v>21381</v>
      </c>
      <c r="F35" s="25">
        <v>860803</v>
      </c>
      <c r="G35" s="25">
        <v>92099306</v>
      </c>
      <c r="H35" s="26">
        <v>32.42</v>
      </c>
      <c r="I35" s="27">
        <v>0</v>
      </c>
    </row>
    <row r="36" spans="1:9">
      <c r="A36" s="24">
        <v>45917</v>
      </c>
      <c r="B36" s="23" t="s">
        <v>13</v>
      </c>
      <c r="C36" s="25">
        <v>102716352</v>
      </c>
      <c r="D36" s="25">
        <v>5187609</v>
      </c>
      <c r="E36" s="25">
        <v>21381</v>
      </c>
      <c r="F36" s="25">
        <v>996063</v>
      </c>
      <c r="G36" s="25">
        <v>108921405</v>
      </c>
      <c r="H36" s="26">
        <v>38.17</v>
      </c>
      <c r="I36" s="27">
        <v>0</v>
      </c>
    </row>
    <row r="37" spans="1:9">
      <c r="A37" s="24">
        <v>45917</v>
      </c>
      <c r="B37" s="23" t="s">
        <v>19</v>
      </c>
      <c r="C37" s="25">
        <v>102716352</v>
      </c>
      <c r="D37" s="25">
        <v>5187609</v>
      </c>
      <c r="E37" s="25">
        <v>21381</v>
      </c>
      <c r="F37" s="25">
        <v>996063</v>
      </c>
      <c r="G37" s="25">
        <v>108921405</v>
      </c>
      <c r="H37" s="26">
        <v>38.17</v>
      </c>
      <c r="I37" s="27">
        <v>0</v>
      </c>
    </row>
    <row r="38" spans="1:9">
      <c r="A38" s="24">
        <v>45918</v>
      </c>
      <c r="B38" s="23" t="s">
        <v>13</v>
      </c>
      <c r="C38" s="25">
        <v>2432018</v>
      </c>
      <c r="D38" s="25">
        <v>199752</v>
      </c>
      <c r="E38" s="25">
        <v>714</v>
      </c>
      <c r="F38" s="25">
        <v>36479</v>
      </c>
      <c r="G38" s="25">
        <v>2668963</v>
      </c>
      <c r="H38" s="26">
        <v>1.08</v>
      </c>
      <c r="I38" s="27">
        <v>0</v>
      </c>
    </row>
    <row r="39" spans="1:9">
      <c r="A39" s="24">
        <v>45918</v>
      </c>
      <c r="B39" s="23" t="s">
        <v>19</v>
      </c>
      <c r="C39" s="25">
        <v>2432018</v>
      </c>
      <c r="D39" s="25">
        <v>199752</v>
      </c>
      <c r="E39" s="25">
        <v>714</v>
      </c>
      <c r="F39" s="25">
        <v>36479</v>
      </c>
      <c r="G39" s="25">
        <v>2668963</v>
      </c>
      <c r="H39" s="26">
        <v>1.08</v>
      </c>
      <c r="I39" s="27">
        <v>0</v>
      </c>
    </row>
    <row r="40" spans="1:9">
      <c r="A40" s="24">
        <v>45919</v>
      </c>
      <c r="B40" s="23" t="s">
        <v>13</v>
      </c>
      <c r="C40" s="25">
        <v>18859579</v>
      </c>
      <c r="D40" s="25">
        <v>1186899</v>
      </c>
      <c r="E40" s="25">
        <v>29654</v>
      </c>
      <c r="F40" s="25">
        <v>143091</v>
      </c>
      <c r="G40" s="25">
        <v>20219223</v>
      </c>
      <c r="H40" s="26">
        <v>7.09</v>
      </c>
      <c r="I40" s="27">
        <v>0</v>
      </c>
    </row>
    <row r="41" spans="1:9">
      <c r="A41" s="24">
        <v>45919</v>
      </c>
      <c r="B41" s="23" t="s">
        <v>19</v>
      </c>
      <c r="C41" s="25">
        <v>18859579</v>
      </c>
      <c r="D41" s="25">
        <v>1186899</v>
      </c>
      <c r="E41" s="25">
        <v>29654</v>
      </c>
      <c r="F41" s="25">
        <v>143091</v>
      </c>
      <c r="G41" s="25">
        <v>20219223</v>
      </c>
      <c r="H41" s="26">
        <v>7.09</v>
      </c>
      <c r="I41" s="27">
        <v>0</v>
      </c>
    </row>
    <row r="42" spans="1:9">
      <c r="A42" s="24">
        <v>45920</v>
      </c>
      <c r="B42" s="23" t="s">
        <v>13</v>
      </c>
      <c r="C42" s="25">
        <v>19014214</v>
      </c>
      <c r="D42" s="25">
        <v>1223981</v>
      </c>
      <c r="E42" s="25">
        <v>30249</v>
      </c>
      <c r="F42" s="25">
        <v>149321</v>
      </c>
      <c r="G42" s="25">
        <v>20417765</v>
      </c>
      <c r="H42" s="26">
        <v>7.22</v>
      </c>
      <c r="I42" s="27">
        <v>0</v>
      </c>
    </row>
    <row r="43" spans="1:9">
      <c r="A43" s="24">
        <v>45920</v>
      </c>
      <c r="B43" s="23" t="s">
        <v>19</v>
      </c>
      <c r="C43" s="25">
        <v>19014214</v>
      </c>
      <c r="D43" s="25">
        <v>1223981</v>
      </c>
      <c r="E43" s="25">
        <v>30249</v>
      </c>
      <c r="F43" s="25">
        <v>149321</v>
      </c>
      <c r="G43" s="25">
        <v>20417765</v>
      </c>
      <c r="H43" s="26">
        <v>7.22</v>
      </c>
      <c r="I43" s="27">
        <v>0</v>
      </c>
    </row>
    <row r="44" spans="1:9">
      <c r="A44" s="24">
        <v>45921</v>
      </c>
      <c r="B44" s="23" t="s">
        <v>13</v>
      </c>
      <c r="C44" s="25">
        <v>19794920</v>
      </c>
      <c r="D44" s="25">
        <v>1317946</v>
      </c>
      <c r="E44" s="25">
        <v>30333</v>
      </c>
      <c r="F44" s="25">
        <v>162595</v>
      </c>
      <c r="G44" s="25">
        <v>21305794</v>
      </c>
      <c r="H44" s="26">
        <v>7.61</v>
      </c>
      <c r="I44" s="27">
        <v>0</v>
      </c>
    </row>
    <row r="45" spans="1:9">
      <c r="A45" s="24">
        <v>45921</v>
      </c>
      <c r="B45" s="23" t="s">
        <v>19</v>
      </c>
      <c r="C45" s="25">
        <v>19794920</v>
      </c>
      <c r="D45" s="25">
        <v>1317946</v>
      </c>
      <c r="E45" s="25">
        <v>30333</v>
      </c>
      <c r="F45" s="25">
        <v>162595</v>
      </c>
      <c r="G45" s="25">
        <v>21305794</v>
      </c>
      <c r="H45" s="26">
        <v>7.61</v>
      </c>
      <c r="I45" s="27">
        <v>0</v>
      </c>
    </row>
    <row r="46" spans="1:9">
      <c r="A46" s="24">
        <v>45922</v>
      </c>
      <c r="B46" s="23" t="s">
        <v>13</v>
      </c>
      <c r="C46" s="25">
        <v>36997398</v>
      </c>
      <c r="D46" s="25">
        <v>1741578</v>
      </c>
      <c r="E46" s="25">
        <v>30483</v>
      </c>
      <c r="F46" s="25">
        <v>197869</v>
      </c>
      <c r="G46" s="25">
        <v>38967328</v>
      </c>
      <c r="H46" s="26">
        <v>12.65</v>
      </c>
      <c r="I46" s="27">
        <v>0</v>
      </c>
    </row>
    <row r="47" spans="1:9">
      <c r="A47" s="24">
        <v>45922</v>
      </c>
      <c r="B47" s="23" t="s">
        <v>19</v>
      </c>
      <c r="C47" s="25">
        <v>36997398</v>
      </c>
      <c r="D47" s="25">
        <v>1741578</v>
      </c>
      <c r="E47" s="25">
        <v>30483</v>
      </c>
      <c r="F47" s="25">
        <v>197869</v>
      </c>
      <c r="G47" s="25">
        <v>38967328</v>
      </c>
      <c r="H47" s="26">
        <v>12.65</v>
      </c>
      <c r="I47" s="27">
        <v>0</v>
      </c>
    </row>
    <row r="48" spans="1:9">
      <c r="A48" s="24">
        <v>45923</v>
      </c>
      <c r="B48" s="23" t="s">
        <v>13</v>
      </c>
      <c r="C48" s="25">
        <v>46889655</v>
      </c>
      <c r="D48" s="25">
        <v>2116529</v>
      </c>
      <c r="E48" s="25">
        <v>30483</v>
      </c>
      <c r="F48" s="25">
        <v>241795</v>
      </c>
      <c r="G48" s="25">
        <v>49278462</v>
      </c>
      <c r="H48" s="26">
        <v>15.86</v>
      </c>
      <c r="I48" s="27">
        <v>0</v>
      </c>
    </row>
    <row r="49" spans="1:9">
      <c r="A49" s="24">
        <v>45923</v>
      </c>
      <c r="B49" s="23" t="s">
        <v>19</v>
      </c>
      <c r="C49" s="25">
        <v>46889655</v>
      </c>
      <c r="D49" s="25">
        <v>2116529</v>
      </c>
      <c r="E49" s="25">
        <v>30483</v>
      </c>
      <c r="F49" s="25">
        <v>241795</v>
      </c>
      <c r="G49" s="25">
        <v>49278462</v>
      </c>
      <c r="H49" s="26">
        <v>15.86</v>
      </c>
      <c r="I49" s="27">
        <v>0</v>
      </c>
    </row>
    <row r="50" spans="1:9">
      <c r="A50" s="24">
        <v>45924</v>
      </c>
      <c r="B50" s="23" t="s">
        <v>13</v>
      </c>
      <c r="C50" s="25">
        <v>51510378</v>
      </c>
      <c r="D50" s="25">
        <v>2641724</v>
      </c>
      <c r="E50" s="25">
        <v>30483</v>
      </c>
      <c r="F50" s="25">
        <v>309788</v>
      </c>
      <c r="G50" s="25">
        <v>54492373</v>
      </c>
      <c r="H50" s="26">
        <v>18.079999999999998</v>
      </c>
      <c r="I50" s="27">
        <v>0</v>
      </c>
    </row>
    <row r="51" spans="1:9">
      <c r="A51" s="24">
        <v>45924</v>
      </c>
      <c r="B51" s="23" t="s">
        <v>19</v>
      </c>
      <c r="C51" s="25">
        <v>51510378</v>
      </c>
      <c r="D51" s="25">
        <v>2641724</v>
      </c>
      <c r="E51" s="25">
        <v>30483</v>
      </c>
      <c r="F51" s="25">
        <v>309788</v>
      </c>
      <c r="G51" s="25">
        <v>54492373</v>
      </c>
      <c r="H51" s="26">
        <v>18.079999999999998</v>
      </c>
      <c r="I51" s="27">
        <v>0</v>
      </c>
    </row>
    <row r="52" spans="1:9">
      <c r="A52" s="24">
        <v>45925</v>
      </c>
      <c r="B52" s="23" t="s">
        <v>13</v>
      </c>
      <c r="C52" s="25">
        <v>51510378</v>
      </c>
      <c r="D52" s="25">
        <v>2641724</v>
      </c>
      <c r="E52" s="25">
        <v>30483</v>
      </c>
      <c r="F52" s="25">
        <v>309788</v>
      </c>
      <c r="G52" s="25">
        <v>54492373</v>
      </c>
      <c r="H52" s="26">
        <v>18.079999999999998</v>
      </c>
      <c r="I52" s="27">
        <v>0</v>
      </c>
    </row>
    <row r="53" spans="1:9">
      <c r="A53" s="24">
        <v>45925</v>
      </c>
      <c r="B53" s="23" t="s">
        <v>19</v>
      </c>
      <c r="C53" s="25">
        <v>51510378</v>
      </c>
      <c r="D53" s="25">
        <v>2641724</v>
      </c>
      <c r="E53" s="25">
        <v>30483</v>
      </c>
      <c r="F53" s="25">
        <v>309788</v>
      </c>
      <c r="G53" s="25">
        <v>54492373</v>
      </c>
      <c r="H53" s="26">
        <v>18.079999999999998</v>
      </c>
      <c r="I53" s="27">
        <v>0</v>
      </c>
    </row>
    <row r="54" spans="1:9">
      <c r="A54" s="24">
        <v>45926</v>
      </c>
      <c r="B54" s="23" t="s">
        <v>13</v>
      </c>
      <c r="C54" s="25">
        <v>52079210</v>
      </c>
      <c r="D54" s="25">
        <v>2709150</v>
      </c>
      <c r="E54" s="25">
        <v>30483</v>
      </c>
      <c r="F54" s="25">
        <v>319494</v>
      </c>
      <c r="G54" s="25">
        <v>55138337</v>
      </c>
      <c r="H54" s="26">
        <v>18.36</v>
      </c>
      <c r="I54" s="27">
        <v>0</v>
      </c>
    </row>
    <row r="55" spans="1:9">
      <c r="A55" s="24">
        <v>45926</v>
      </c>
      <c r="B55" s="23" t="s">
        <v>19</v>
      </c>
      <c r="C55" s="25">
        <v>52079210</v>
      </c>
      <c r="D55" s="25">
        <v>2709150</v>
      </c>
      <c r="E55" s="25">
        <v>30483</v>
      </c>
      <c r="F55" s="25">
        <v>319494</v>
      </c>
      <c r="G55" s="25">
        <v>55138337</v>
      </c>
      <c r="H55" s="26">
        <v>18.36</v>
      </c>
      <c r="I55" s="27">
        <v>0</v>
      </c>
    </row>
    <row r="56" spans="1:9">
      <c r="A56" s="24">
        <v>45927</v>
      </c>
      <c r="B56" s="23" t="s">
        <v>13</v>
      </c>
      <c r="C56" s="25">
        <v>52079210</v>
      </c>
      <c r="D56" s="25">
        <v>2709150</v>
      </c>
      <c r="E56" s="25">
        <v>30483</v>
      </c>
      <c r="F56" s="25">
        <v>319494</v>
      </c>
      <c r="G56" s="25">
        <v>55138337</v>
      </c>
      <c r="H56" s="26">
        <v>18.36</v>
      </c>
      <c r="I56" s="27">
        <v>0</v>
      </c>
    </row>
    <row r="57" spans="1:9">
      <c r="A57" s="24">
        <v>45927</v>
      </c>
      <c r="B57" s="23" t="s">
        <v>19</v>
      </c>
      <c r="C57" s="25">
        <v>52079210</v>
      </c>
      <c r="D57" s="25">
        <v>2709150</v>
      </c>
      <c r="E57" s="25">
        <v>30483</v>
      </c>
      <c r="F57" s="25">
        <v>319494</v>
      </c>
      <c r="G57" s="25">
        <v>55138337</v>
      </c>
      <c r="H57" s="26">
        <v>18.36</v>
      </c>
      <c r="I57" s="27">
        <v>0</v>
      </c>
    </row>
    <row r="58" spans="1:9">
      <c r="A58" s="24">
        <v>45928</v>
      </c>
      <c r="B58" s="23" t="s">
        <v>13</v>
      </c>
      <c r="C58" s="25">
        <v>52079210</v>
      </c>
      <c r="D58" s="25">
        <v>2709150</v>
      </c>
      <c r="E58" s="25">
        <v>30483</v>
      </c>
      <c r="F58" s="25">
        <v>319494</v>
      </c>
      <c r="G58" s="25">
        <v>55138337</v>
      </c>
      <c r="H58" s="26">
        <v>18.36</v>
      </c>
      <c r="I58" s="27">
        <v>0</v>
      </c>
    </row>
    <row r="59" spans="1:9">
      <c r="A59" s="24">
        <v>45928</v>
      </c>
      <c r="B59" s="23" t="s">
        <v>19</v>
      </c>
      <c r="C59" s="25">
        <v>52079210</v>
      </c>
      <c r="D59" s="25">
        <v>2709150</v>
      </c>
      <c r="E59" s="25">
        <v>30483</v>
      </c>
      <c r="F59" s="25">
        <v>319494</v>
      </c>
      <c r="G59" s="25">
        <v>55138337</v>
      </c>
      <c r="H59" s="26">
        <v>18.36</v>
      </c>
      <c r="I59" s="27">
        <v>0</v>
      </c>
    </row>
    <row r="60" spans="1:9">
      <c r="A60" s="24">
        <v>45929</v>
      </c>
      <c r="B60" s="23" t="s">
        <v>13</v>
      </c>
      <c r="C60" s="25">
        <v>54171574</v>
      </c>
      <c r="D60" s="25">
        <v>3122082</v>
      </c>
      <c r="E60" s="25">
        <v>30483</v>
      </c>
      <c r="F60" s="25">
        <v>348393</v>
      </c>
      <c r="G60" s="25">
        <v>57672532</v>
      </c>
      <c r="H60" s="26">
        <v>19.57</v>
      </c>
      <c r="I60" s="27">
        <v>0</v>
      </c>
    </row>
    <row r="61" spans="1:9">
      <c r="A61" s="24">
        <v>45929</v>
      </c>
      <c r="B61" s="23" t="s">
        <v>19</v>
      </c>
      <c r="C61" s="25">
        <v>54171574</v>
      </c>
      <c r="D61" s="25">
        <v>3122082</v>
      </c>
      <c r="E61" s="25">
        <v>30483</v>
      </c>
      <c r="F61" s="25">
        <v>348393</v>
      </c>
      <c r="G61" s="25">
        <v>57672532</v>
      </c>
      <c r="H61" s="26">
        <v>19.57</v>
      </c>
      <c r="I61" s="27">
        <v>0</v>
      </c>
    </row>
    <row r="62" spans="1:9">
      <c r="A62" s="24">
        <v>45930</v>
      </c>
      <c r="B62" s="23" t="s">
        <v>13</v>
      </c>
      <c r="C62" s="25">
        <v>57370966</v>
      </c>
      <c r="D62" s="25">
        <v>3333629</v>
      </c>
      <c r="E62" s="25">
        <v>31785</v>
      </c>
      <c r="F62" s="25">
        <v>359361</v>
      </c>
      <c r="G62" s="25">
        <v>61095741</v>
      </c>
      <c r="H62" s="26">
        <v>20.71</v>
      </c>
      <c r="I62" s="27">
        <v>0</v>
      </c>
    </row>
    <row r="63" spans="1:9">
      <c r="A63" s="24">
        <v>45930</v>
      </c>
      <c r="B63" s="23" t="s">
        <v>19</v>
      </c>
      <c r="C63" s="25">
        <v>57370966</v>
      </c>
      <c r="D63" s="25">
        <v>3333629</v>
      </c>
      <c r="E63" s="25">
        <v>31785</v>
      </c>
      <c r="F63" s="25">
        <v>359361</v>
      </c>
      <c r="G63" s="25">
        <v>61095741</v>
      </c>
      <c r="H63" s="26">
        <v>20.71</v>
      </c>
      <c r="I63" s="27">
        <v>0</v>
      </c>
    </row>
    <row r="64" spans="1:9">
      <c r="A64" s="24">
        <f>A63+1</f>
        <v>45931</v>
      </c>
      <c r="B64" s="23" t="s">
        <v>13</v>
      </c>
      <c r="C64" s="25">
        <v>68421489</v>
      </c>
      <c r="D64" s="25">
        <v>4012164</v>
      </c>
      <c r="E64" s="25">
        <v>58923</v>
      </c>
      <c r="F64" s="25">
        <v>416217</v>
      </c>
      <c r="G64" s="25">
        <v>72908793</v>
      </c>
      <c r="H64" s="26">
        <v>24.69</v>
      </c>
      <c r="I64" s="27">
        <v>0</v>
      </c>
    </row>
    <row r="65" spans="1:9">
      <c r="A65" s="24">
        <f>A63+1</f>
        <v>45931</v>
      </c>
      <c r="B65" s="23" t="s">
        <v>19</v>
      </c>
      <c r="C65" s="25">
        <v>68421489</v>
      </c>
      <c r="D65" s="25">
        <v>4012164</v>
      </c>
      <c r="E65" s="25">
        <v>58923</v>
      </c>
      <c r="F65" s="25">
        <v>416217</v>
      </c>
      <c r="G65" s="25">
        <v>72908793</v>
      </c>
      <c r="H65" s="26">
        <v>24.69</v>
      </c>
      <c r="I65" s="27">
        <v>0</v>
      </c>
    </row>
    <row r="66" spans="1:9">
      <c r="A66" s="24">
        <f>A65+1</f>
        <v>45932</v>
      </c>
      <c r="B66" s="23" t="s">
        <v>13</v>
      </c>
      <c r="C66" s="25">
        <v>68522353</v>
      </c>
      <c r="D66" s="25">
        <v>4021544</v>
      </c>
      <c r="E66" s="25">
        <v>58923</v>
      </c>
      <c r="F66" s="25">
        <v>417787</v>
      </c>
      <c r="G66" s="25">
        <v>73020607</v>
      </c>
      <c r="H66" s="26">
        <v>24.74</v>
      </c>
      <c r="I66" s="27">
        <v>0</v>
      </c>
    </row>
    <row r="67" spans="1:9">
      <c r="A67" s="24">
        <f>A65+1</f>
        <v>45932</v>
      </c>
      <c r="B67" s="23" t="s">
        <v>19</v>
      </c>
      <c r="C67" s="25">
        <v>68522353</v>
      </c>
      <c r="D67" s="25">
        <v>4021544</v>
      </c>
      <c r="E67" s="25">
        <v>58923</v>
      </c>
      <c r="F67" s="25">
        <v>417787</v>
      </c>
      <c r="G67" s="25">
        <v>73020607</v>
      </c>
      <c r="H67" s="26">
        <v>24.74</v>
      </c>
      <c r="I67" s="27">
        <v>0</v>
      </c>
    </row>
    <row r="68" spans="1:9">
      <c r="A68" s="24">
        <f>A67+1</f>
        <v>45933</v>
      </c>
      <c r="B68" s="23" t="s">
        <v>13</v>
      </c>
      <c r="C68" s="25">
        <v>68522353</v>
      </c>
      <c r="D68" s="25">
        <v>4021544</v>
      </c>
      <c r="E68" s="25">
        <v>58923</v>
      </c>
      <c r="F68" s="25">
        <v>417787</v>
      </c>
      <c r="G68" s="25">
        <v>73020607</v>
      </c>
      <c r="H68" s="26">
        <v>24.74</v>
      </c>
      <c r="I68" s="27">
        <v>0</v>
      </c>
    </row>
    <row r="69" spans="1:9">
      <c r="A69" s="24">
        <f>A67+1</f>
        <v>45933</v>
      </c>
      <c r="B69" s="23" t="s">
        <v>19</v>
      </c>
      <c r="C69" s="25">
        <v>68522353</v>
      </c>
      <c r="D69" s="25">
        <v>4021544</v>
      </c>
      <c r="E69" s="25">
        <v>58923</v>
      </c>
      <c r="F69" s="25">
        <v>417787</v>
      </c>
      <c r="G69" s="25">
        <v>73020607</v>
      </c>
      <c r="H69" s="26">
        <v>24.74</v>
      </c>
      <c r="I69" s="27">
        <v>0</v>
      </c>
    </row>
    <row r="70" spans="1:9">
      <c r="A70" s="24">
        <f>A69+1</f>
        <v>45934</v>
      </c>
      <c r="B70" s="23" t="s">
        <v>13</v>
      </c>
      <c r="C70" s="25">
        <v>68522353</v>
      </c>
      <c r="D70" s="25">
        <v>4021544</v>
      </c>
      <c r="E70" s="25">
        <v>58923</v>
      </c>
      <c r="F70" s="25">
        <v>417787</v>
      </c>
      <c r="G70" s="25">
        <v>73020607</v>
      </c>
      <c r="H70" s="26">
        <v>24.74</v>
      </c>
      <c r="I70" s="27">
        <v>0</v>
      </c>
    </row>
    <row r="71" spans="1:9">
      <c r="A71" s="24">
        <f>A69+1</f>
        <v>45934</v>
      </c>
      <c r="B71" s="23" t="s">
        <v>19</v>
      </c>
      <c r="C71" s="25">
        <v>68522353</v>
      </c>
      <c r="D71" s="25">
        <v>4021544</v>
      </c>
      <c r="E71" s="25">
        <v>58923</v>
      </c>
      <c r="F71" s="25">
        <v>417787</v>
      </c>
      <c r="G71" s="25">
        <v>73020607</v>
      </c>
      <c r="H71" s="26">
        <v>24.74</v>
      </c>
      <c r="I71" s="27">
        <v>0</v>
      </c>
    </row>
    <row r="72" spans="1:9">
      <c r="A72" s="24">
        <f>A71+1</f>
        <v>45935</v>
      </c>
      <c r="B72" s="23" t="s">
        <v>13</v>
      </c>
      <c r="C72" s="25">
        <v>68799755</v>
      </c>
      <c r="D72" s="25">
        <v>4053577</v>
      </c>
      <c r="E72" s="25">
        <v>68412</v>
      </c>
      <c r="F72" s="25">
        <v>424085</v>
      </c>
      <c r="G72" s="25">
        <v>73345829</v>
      </c>
      <c r="H72" s="26">
        <v>24.9</v>
      </c>
      <c r="I72" s="27">
        <v>0</v>
      </c>
    </row>
    <row r="73" spans="1:9">
      <c r="A73" s="24">
        <f>A71+1</f>
        <v>45935</v>
      </c>
      <c r="B73" s="23" t="s">
        <v>19</v>
      </c>
      <c r="C73" s="25">
        <v>68799755</v>
      </c>
      <c r="D73" s="25">
        <v>4053577</v>
      </c>
      <c r="E73" s="25">
        <v>68412</v>
      </c>
      <c r="F73" s="25">
        <v>424085</v>
      </c>
      <c r="G73" s="25">
        <v>73345829</v>
      </c>
      <c r="H73" s="26">
        <v>24.9</v>
      </c>
      <c r="I73" s="27">
        <v>0</v>
      </c>
    </row>
    <row r="74" spans="1:9">
      <c r="A74" s="24">
        <f>A73+1</f>
        <v>45936</v>
      </c>
      <c r="B74" s="23" t="s">
        <v>13</v>
      </c>
      <c r="C74" s="25">
        <v>73516751</v>
      </c>
      <c r="D74" s="25">
        <v>4361792</v>
      </c>
      <c r="E74" s="25">
        <v>127022</v>
      </c>
      <c r="F74" s="25">
        <v>468897</v>
      </c>
      <c r="G74" s="25">
        <v>78474462</v>
      </c>
      <c r="H74" s="26">
        <v>26.8</v>
      </c>
      <c r="I74" s="27">
        <v>0</v>
      </c>
    </row>
    <row r="75" spans="1:9">
      <c r="A75" s="24">
        <f>A73+1</f>
        <v>45936</v>
      </c>
      <c r="B75" s="23" t="s">
        <v>19</v>
      </c>
      <c r="C75" s="25">
        <v>73516751</v>
      </c>
      <c r="D75" s="25">
        <v>4361792</v>
      </c>
      <c r="E75" s="25">
        <v>127022</v>
      </c>
      <c r="F75" s="25">
        <v>468897</v>
      </c>
      <c r="G75" s="25">
        <v>78474462</v>
      </c>
      <c r="H75" s="26">
        <v>26.8</v>
      </c>
      <c r="I75" s="27">
        <v>0</v>
      </c>
    </row>
    <row r="76" spans="1:9">
      <c r="A76" s="24">
        <f>A75+1</f>
        <v>45937</v>
      </c>
      <c r="B76" s="23" t="s">
        <v>13</v>
      </c>
      <c r="C76" s="25">
        <v>73962221</v>
      </c>
      <c r="D76" s="25">
        <v>4423652</v>
      </c>
      <c r="E76" s="25">
        <v>128205</v>
      </c>
      <c r="F76" s="25">
        <v>483897</v>
      </c>
      <c r="G76" s="25">
        <v>78997975</v>
      </c>
      <c r="H76" s="26">
        <v>27.08</v>
      </c>
      <c r="I76" s="27">
        <v>0</v>
      </c>
    </row>
    <row r="77" spans="1:9">
      <c r="A77" s="24">
        <f>A75+1</f>
        <v>45937</v>
      </c>
      <c r="B77" s="23" t="s">
        <v>19</v>
      </c>
      <c r="C77" s="25">
        <v>73962221</v>
      </c>
      <c r="D77" s="25">
        <v>4423652</v>
      </c>
      <c r="E77" s="25">
        <v>128205</v>
      </c>
      <c r="F77" s="25">
        <v>483897</v>
      </c>
      <c r="G77" s="25">
        <v>78997975</v>
      </c>
      <c r="H77" s="26">
        <v>27.08</v>
      </c>
      <c r="I77" s="27">
        <v>0</v>
      </c>
    </row>
    <row r="78" spans="1:9">
      <c r="A78" s="24">
        <f>A77+1</f>
        <v>45938</v>
      </c>
      <c r="B78" s="23" t="s">
        <v>13</v>
      </c>
      <c r="C78" s="25">
        <v>75695978</v>
      </c>
      <c r="D78" s="25">
        <v>5551478</v>
      </c>
      <c r="E78" s="25">
        <v>348489</v>
      </c>
      <c r="F78" s="25">
        <v>577833</v>
      </c>
      <c r="G78" s="25">
        <v>82173778</v>
      </c>
      <c r="H78" s="26">
        <v>29.77</v>
      </c>
      <c r="I78" s="27">
        <v>0</v>
      </c>
    </row>
    <row r="79" spans="1:9">
      <c r="A79" s="24">
        <f>A77+1</f>
        <v>45938</v>
      </c>
      <c r="B79" s="23" t="s">
        <v>19</v>
      </c>
      <c r="C79" s="25">
        <v>75695978</v>
      </c>
      <c r="D79" s="25">
        <v>5551478</v>
      </c>
      <c r="E79" s="25">
        <v>348489</v>
      </c>
      <c r="F79" s="25">
        <v>577833</v>
      </c>
      <c r="G79" s="25">
        <v>82173778</v>
      </c>
      <c r="H79" s="26">
        <v>29.77</v>
      </c>
      <c r="I79" s="27">
        <v>0</v>
      </c>
    </row>
    <row r="80" spans="1:9">
      <c r="A80" s="24">
        <f>A79+1</f>
        <v>45939</v>
      </c>
      <c r="B80" s="23" t="s">
        <v>13</v>
      </c>
      <c r="C80" s="25">
        <v>75994305</v>
      </c>
      <c r="D80" s="25">
        <v>5596368</v>
      </c>
      <c r="E80" s="25">
        <v>360884</v>
      </c>
      <c r="F80" s="25">
        <v>588758</v>
      </c>
      <c r="G80" s="25">
        <v>82540315</v>
      </c>
      <c r="H80" s="26">
        <v>29.98</v>
      </c>
      <c r="I80" s="27">
        <v>0</v>
      </c>
    </row>
    <row r="81" spans="1:9">
      <c r="A81" s="24">
        <f>A79+1</f>
        <v>45939</v>
      </c>
      <c r="B81" s="23" t="s">
        <v>19</v>
      </c>
      <c r="C81" s="25">
        <v>75994305</v>
      </c>
      <c r="D81" s="25">
        <v>5596368</v>
      </c>
      <c r="E81" s="25">
        <v>360884</v>
      </c>
      <c r="F81" s="25">
        <v>588758</v>
      </c>
      <c r="G81" s="25">
        <v>82540315</v>
      </c>
      <c r="H81" s="26">
        <v>29.98</v>
      </c>
      <c r="I81" s="27">
        <v>0</v>
      </c>
    </row>
    <row r="82" spans="1:9">
      <c r="A82" s="24">
        <f>A81+1</f>
        <v>45940</v>
      </c>
      <c r="B82" s="23" t="s">
        <v>13</v>
      </c>
      <c r="C82" s="25">
        <v>76502119</v>
      </c>
      <c r="D82" s="25">
        <v>5691073</v>
      </c>
      <c r="E82" s="25">
        <v>366185</v>
      </c>
      <c r="F82" s="25">
        <v>606451</v>
      </c>
      <c r="G82" s="25">
        <v>83165828</v>
      </c>
      <c r="H82" s="26">
        <v>30.34</v>
      </c>
      <c r="I82" s="27">
        <v>0</v>
      </c>
    </row>
    <row r="83" spans="1:9">
      <c r="A83" s="24">
        <f>A81+1</f>
        <v>45940</v>
      </c>
      <c r="B83" s="23" t="s">
        <v>19</v>
      </c>
      <c r="C83" s="25">
        <v>76502119</v>
      </c>
      <c r="D83" s="25">
        <v>5691073</v>
      </c>
      <c r="E83" s="25">
        <v>366185</v>
      </c>
      <c r="F83" s="25">
        <v>606451</v>
      </c>
      <c r="G83" s="25">
        <v>83165828</v>
      </c>
      <c r="H83" s="26">
        <v>30.34</v>
      </c>
      <c r="I83" s="27">
        <v>0</v>
      </c>
    </row>
    <row r="84" spans="1:9">
      <c r="A84" s="24">
        <f>A83+1</f>
        <v>45941</v>
      </c>
      <c r="B84" s="23" t="s">
        <v>13</v>
      </c>
      <c r="C84" s="25">
        <v>76909922</v>
      </c>
      <c r="D84" s="25">
        <v>5735658</v>
      </c>
      <c r="E84" s="25">
        <v>375404</v>
      </c>
      <c r="F84" s="25">
        <v>617167</v>
      </c>
      <c r="G84" s="25">
        <v>83638151</v>
      </c>
      <c r="H84" s="26">
        <v>30.57</v>
      </c>
      <c r="I84" s="27">
        <v>0</v>
      </c>
    </row>
    <row r="85" spans="1:9">
      <c r="A85" s="24">
        <f>A83+1</f>
        <v>45941</v>
      </c>
      <c r="B85" s="23" t="s">
        <v>19</v>
      </c>
      <c r="C85" s="25">
        <v>76909922</v>
      </c>
      <c r="D85" s="25">
        <v>5735658</v>
      </c>
      <c r="E85" s="25">
        <v>375404</v>
      </c>
      <c r="F85" s="25">
        <v>617167</v>
      </c>
      <c r="G85" s="25">
        <v>83638151</v>
      </c>
      <c r="H85" s="26">
        <v>30.57</v>
      </c>
      <c r="I85" s="27">
        <v>0</v>
      </c>
    </row>
    <row r="86" spans="1:9">
      <c r="A86" s="24">
        <f>A85+1</f>
        <v>45942</v>
      </c>
      <c r="B86" s="23" t="s">
        <v>13</v>
      </c>
      <c r="C86" s="25">
        <v>77061113</v>
      </c>
      <c r="D86" s="25">
        <v>5751837</v>
      </c>
      <c r="E86" s="25">
        <v>386289</v>
      </c>
      <c r="F86" s="25">
        <v>623096</v>
      </c>
      <c r="G86" s="25">
        <v>83822335</v>
      </c>
      <c r="H86" s="26">
        <v>30.68</v>
      </c>
      <c r="I86" s="27">
        <v>0</v>
      </c>
    </row>
    <row r="87" spans="1:9">
      <c r="A87" s="24">
        <f>A85+1</f>
        <v>45942</v>
      </c>
      <c r="B87" s="23" t="s">
        <v>19</v>
      </c>
      <c r="C87" s="25">
        <v>77061113</v>
      </c>
      <c r="D87" s="25">
        <v>5751837</v>
      </c>
      <c r="E87" s="25">
        <v>386289</v>
      </c>
      <c r="F87" s="25">
        <v>623096</v>
      </c>
      <c r="G87" s="25">
        <v>83822335</v>
      </c>
      <c r="H87" s="26">
        <v>30.68</v>
      </c>
      <c r="I87" s="27">
        <v>0</v>
      </c>
    </row>
    <row r="88" spans="1:9">
      <c r="A88" s="24">
        <f>A87+1</f>
        <v>45943</v>
      </c>
      <c r="B88" s="23" t="s">
        <v>13</v>
      </c>
      <c r="C88" s="25">
        <v>78049976</v>
      </c>
      <c r="D88" s="25">
        <v>5932726</v>
      </c>
      <c r="E88" s="25">
        <v>456703</v>
      </c>
      <c r="F88" s="25">
        <v>689728</v>
      </c>
      <c r="G88" s="25">
        <v>85129133</v>
      </c>
      <c r="H88" s="26">
        <v>31.64</v>
      </c>
      <c r="I88" s="27">
        <v>0</v>
      </c>
    </row>
    <row r="89" spans="1:9">
      <c r="A89" s="24">
        <f>A87+1</f>
        <v>45943</v>
      </c>
      <c r="B89" s="23" t="s">
        <v>19</v>
      </c>
      <c r="C89" s="25">
        <v>78049976</v>
      </c>
      <c r="D89" s="25">
        <v>5932726</v>
      </c>
      <c r="E89" s="25">
        <v>456703</v>
      </c>
      <c r="F89" s="25">
        <v>689728</v>
      </c>
      <c r="G89" s="25">
        <v>85129133</v>
      </c>
      <c r="H89" s="26">
        <v>31.64</v>
      </c>
      <c r="I89" s="27">
        <v>0</v>
      </c>
    </row>
    <row r="90" spans="1:9">
      <c r="A90" s="24">
        <f>A89+1</f>
        <v>45944</v>
      </c>
      <c r="B90" s="23" t="s">
        <v>13</v>
      </c>
      <c r="C90" s="25">
        <v>80322179</v>
      </c>
      <c r="D90" s="25">
        <v>6647247</v>
      </c>
      <c r="E90" s="25">
        <v>814917</v>
      </c>
      <c r="F90" s="25">
        <v>808674</v>
      </c>
      <c r="G90" s="25">
        <v>88593017</v>
      </c>
      <c r="H90" s="26">
        <v>34.26</v>
      </c>
      <c r="I90" s="27">
        <v>0</v>
      </c>
    </row>
    <row r="91" spans="1:9">
      <c r="A91" s="24">
        <f>A89+1</f>
        <v>45944</v>
      </c>
      <c r="B91" s="23" t="s">
        <v>19</v>
      </c>
      <c r="C91" s="25">
        <v>80322179</v>
      </c>
      <c r="D91" s="25">
        <v>6647247</v>
      </c>
      <c r="E91" s="25">
        <v>814917</v>
      </c>
      <c r="F91" s="25">
        <v>808674</v>
      </c>
      <c r="G91" s="25">
        <v>88593017</v>
      </c>
      <c r="H91" s="26">
        <v>34.26</v>
      </c>
      <c r="I91" s="27">
        <v>0</v>
      </c>
    </row>
    <row r="92" spans="1:9">
      <c r="A92" s="24">
        <f>A91+1</f>
        <v>45945</v>
      </c>
      <c r="B92" s="23" t="s">
        <v>13</v>
      </c>
      <c r="C92" s="25">
        <v>81097504</v>
      </c>
      <c r="D92" s="25">
        <v>6928627</v>
      </c>
      <c r="E92" s="25">
        <v>1060331</v>
      </c>
      <c r="F92" s="25">
        <v>822109</v>
      </c>
      <c r="G92" s="25">
        <v>89908571</v>
      </c>
      <c r="H92" s="26">
        <v>35.19</v>
      </c>
      <c r="I92" s="27">
        <v>0</v>
      </c>
    </row>
    <row r="93" spans="1:9">
      <c r="A93" s="24">
        <f>A91+1</f>
        <v>45945</v>
      </c>
      <c r="B93" s="23" t="s">
        <v>19</v>
      </c>
      <c r="C93" s="25">
        <v>81097504</v>
      </c>
      <c r="D93" s="25">
        <v>6928627</v>
      </c>
      <c r="E93" s="25">
        <v>1060331</v>
      </c>
      <c r="F93" s="25">
        <v>822109</v>
      </c>
      <c r="G93" s="25">
        <v>89908571</v>
      </c>
      <c r="H93" s="26">
        <v>35.19</v>
      </c>
      <c r="I93" s="27">
        <v>0</v>
      </c>
    </row>
    <row r="94" spans="1:9">
      <c r="A94" s="24">
        <f>A93+1</f>
        <v>45946</v>
      </c>
      <c r="B94" s="23" t="s">
        <v>13</v>
      </c>
      <c r="C94" s="25">
        <v>81097504</v>
      </c>
      <c r="D94" s="25">
        <v>6928627</v>
      </c>
      <c r="E94" s="25">
        <v>1060331</v>
      </c>
      <c r="F94" s="25">
        <v>822109</v>
      </c>
      <c r="G94" s="25">
        <v>89908571</v>
      </c>
      <c r="H94" s="26">
        <v>35.19</v>
      </c>
      <c r="I94" s="27">
        <v>0</v>
      </c>
    </row>
    <row r="95" spans="1:9">
      <c r="A95" s="24">
        <f>A93+1</f>
        <v>45946</v>
      </c>
      <c r="B95" s="23" t="s">
        <v>19</v>
      </c>
      <c r="C95" s="25">
        <v>81097504</v>
      </c>
      <c r="D95" s="25">
        <v>6928627</v>
      </c>
      <c r="E95" s="25">
        <v>1060331</v>
      </c>
      <c r="F95" s="25">
        <v>822109</v>
      </c>
      <c r="G95" s="25">
        <v>89908571</v>
      </c>
      <c r="H95" s="26">
        <v>35.19</v>
      </c>
      <c r="I95" s="27">
        <v>0</v>
      </c>
    </row>
    <row r="96" spans="1:9">
      <c r="A96" s="24">
        <f>A95+1</f>
        <v>45947</v>
      </c>
      <c r="B96" s="23" t="s">
        <v>13</v>
      </c>
      <c r="C96" s="25">
        <v>81097504</v>
      </c>
      <c r="D96" s="25">
        <v>6928627</v>
      </c>
      <c r="E96" s="25">
        <v>1060331</v>
      </c>
      <c r="F96" s="25">
        <v>822109</v>
      </c>
      <c r="G96" s="25">
        <v>89908571</v>
      </c>
      <c r="H96" s="26">
        <v>35.19</v>
      </c>
      <c r="I96" s="27">
        <v>0</v>
      </c>
    </row>
    <row r="97" spans="1:9">
      <c r="A97" s="24">
        <f>A95+1</f>
        <v>45947</v>
      </c>
      <c r="B97" s="23" t="s">
        <v>19</v>
      </c>
      <c r="C97" s="25">
        <v>81097504</v>
      </c>
      <c r="D97" s="25">
        <v>6928627</v>
      </c>
      <c r="E97" s="25">
        <v>1060331</v>
      </c>
      <c r="F97" s="25">
        <v>822109</v>
      </c>
      <c r="G97" s="25">
        <v>89908571</v>
      </c>
      <c r="H97" s="26">
        <v>35.19</v>
      </c>
      <c r="I97" s="27">
        <v>0</v>
      </c>
    </row>
    <row r="98" spans="1:9">
      <c r="A98" s="24">
        <f>A97+1</f>
        <v>45948</v>
      </c>
      <c r="B98" s="23" t="s">
        <v>13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6">
        <v>0</v>
      </c>
      <c r="I98" s="27">
        <v>0</v>
      </c>
    </row>
    <row r="99" spans="1:9">
      <c r="A99" s="24">
        <f>A97+1</f>
        <v>45948</v>
      </c>
      <c r="B99" s="23" t="s">
        <v>19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6">
        <v>0</v>
      </c>
      <c r="I99" s="27">
        <v>0</v>
      </c>
    </row>
    <row r="100" spans="1:9">
      <c r="A100" s="24">
        <f>A99+1</f>
        <v>45949</v>
      </c>
      <c r="B100" s="23" t="s">
        <v>13</v>
      </c>
      <c r="C100" s="25">
        <v>31042</v>
      </c>
      <c r="D100" s="25">
        <v>5734</v>
      </c>
      <c r="E100" s="25">
        <v>1800</v>
      </c>
      <c r="F100" s="25">
        <v>549</v>
      </c>
      <c r="G100" s="25">
        <v>39125</v>
      </c>
      <c r="H100" s="26">
        <v>0.02</v>
      </c>
      <c r="I100" s="27">
        <v>0</v>
      </c>
    </row>
    <row r="101" spans="1:9">
      <c r="A101" s="24">
        <f>A99+1</f>
        <v>45949</v>
      </c>
      <c r="B101" s="23" t="s">
        <v>19</v>
      </c>
      <c r="C101" s="25">
        <v>31042</v>
      </c>
      <c r="D101" s="25">
        <v>5734</v>
      </c>
      <c r="E101" s="25">
        <v>1800</v>
      </c>
      <c r="F101" s="25">
        <v>549</v>
      </c>
      <c r="G101" s="25">
        <v>39125</v>
      </c>
      <c r="H101" s="26">
        <v>0.02</v>
      </c>
      <c r="I101" s="27">
        <v>0</v>
      </c>
    </row>
    <row r="102" spans="1:9">
      <c r="A102" s="24">
        <f>A101+1</f>
        <v>45950</v>
      </c>
      <c r="B102" s="23" t="s">
        <v>13</v>
      </c>
      <c r="C102" s="25">
        <v>249935</v>
      </c>
      <c r="D102" s="25">
        <v>13885</v>
      </c>
      <c r="E102" s="25">
        <v>6200</v>
      </c>
      <c r="F102" s="25">
        <v>3381</v>
      </c>
      <c r="G102" s="25">
        <v>273401</v>
      </c>
      <c r="H102" s="26">
        <v>0.11</v>
      </c>
      <c r="I102" s="27">
        <v>0</v>
      </c>
    </row>
    <row r="103" spans="1:9">
      <c r="A103" s="24">
        <f>A101+1</f>
        <v>45950</v>
      </c>
      <c r="B103" s="23" t="s">
        <v>19</v>
      </c>
      <c r="C103" s="25">
        <v>249935</v>
      </c>
      <c r="D103" s="25">
        <v>13885</v>
      </c>
      <c r="E103" s="25">
        <v>6200</v>
      </c>
      <c r="F103" s="25">
        <v>3381</v>
      </c>
      <c r="G103" s="25">
        <v>273401</v>
      </c>
      <c r="H103" s="26">
        <v>0.11</v>
      </c>
      <c r="I103" s="27">
        <v>0</v>
      </c>
    </row>
    <row r="104" spans="1:9">
      <c r="A104" s="24">
        <f>A103+1</f>
        <v>45951</v>
      </c>
      <c r="B104" s="23" t="s">
        <v>13</v>
      </c>
      <c r="C104" s="25">
        <v>249935</v>
      </c>
      <c r="D104" s="25">
        <v>13885</v>
      </c>
      <c r="E104" s="25">
        <v>6200</v>
      </c>
      <c r="F104" s="25">
        <v>3381</v>
      </c>
      <c r="G104" s="25">
        <v>273401</v>
      </c>
      <c r="H104" s="26">
        <v>0.11</v>
      </c>
      <c r="I104" s="27">
        <v>0</v>
      </c>
    </row>
    <row r="105" spans="1:9">
      <c r="A105" s="24">
        <f>A103+1</f>
        <v>45951</v>
      </c>
      <c r="B105" s="23" t="s">
        <v>19</v>
      </c>
      <c r="C105" s="25">
        <v>249935</v>
      </c>
      <c r="D105" s="25">
        <v>13885</v>
      </c>
      <c r="E105" s="25">
        <v>6200</v>
      </c>
      <c r="F105" s="25">
        <v>3381</v>
      </c>
      <c r="G105" s="25">
        <v>273401</v>
      </c>
      <c r="H105" s="26">
        <v>0.11</v>
      </c>
      <c r="I105" s="27">
        <v>0</v>
      </c>
    </row>
    <row r="106" spans="1:9">
      <c r="A106" s="24">
        <f>A105+1</f>
        <v>45952</v>
      </c>
      <c r="B106" s="23" t="s">
        <v>13</v>
      </c>
      <c r="C106" s="25">
        <v>249935</v>
      </c>
      <c r="D106" s="25">
        <v>13885</v>
      </c>
      <c r="E106" s="25">
        <v>6200</v>
      </c>
      <c r="F106" s="25">
        <v>3381</v>
      </c>
      <c r="G106" s="25">
        <v>273401</v>
      </c>
      <c r="H106" s="26">
        <v>0.11</v>
      </c>
      <c r="I106" s="27">
        <v>0</v>
      </c>
    </row>
    <row r="107" spans="1:9">
      <c r="A107" s="24">
        <f>A105+1</f>
        <v>45952</v>
      </c>
      <c r="B107" s="23" t="s">
        <v>19</v>
      </c>
      <c r="C107" s="25">
        <v>249935</v>
      </c>
      <c r="D107" s="25">
        <v>13885</v>
      </c>
      <c r="E107" s="25">
        <v>6200</v>
      </c>
      <c r="F107" s="25">
        <v>3381</v>
      </c>
      <c r="G107" s="25">
        <v>273401</v>
      </c>
      <c r="H107" s="26">
        <v>0.11</v>
      </c>
      <c r="I107" s="27">
        <v>0</v>
      </c>
    </row>
    <row r="108" spans="1:9">
      <c r="A108" s="24">
        <f>A107+1</f>
        <v>45953</v>
      </c>
      <c r="B108" s="23" t="s">
        <v>13</v>
      </c>
      <c r="C108" s="25">
        <v>249935</v>
      </c>
      <c r="D108" s="25">
        <v>13885</v>
      </c>
      <c r="E108" s="25">
        <v>6200</v>
      </c>
      <c r="F108" s="25">
        <v>3381</v>
      </c>
      <c r="G108" s="25">
        <v>273401</v>
      </c>
      <c r="H108" s="26">
        <v>0.11</v>
      </c>
      <c r="I108" s="27">
        <v>0</v>
      </c>
    </row>
    <row r="109" spans="1:9">
      <c r="A109" s="24">
        <f>A107+1</f>
        <v>45953</v>
      </c>
      <c r="B109" s="23" t="s">
        <v>19</v>
      </c>
      <c r="C109" s="25">
        <v>249935</v>
      </c>
      <c r="D109" s="25">
        <v>13885</v>
      </c>
      <c r="E109" s="25">
        <v>6200</v>
      </c>
      <c r="F109" s="25">
        <v>3381</v>
      </c>
      <c r="G109" s="25">
        <v>273401</v>
      </c>
      <c r="H109" s="26">
        <v>0.11</v>
      </c>
      <c r="I109" s="27">
        <v>0</v>
      </c>
    </row>
    <row r="110" spans="1:9">
      <c r="A110" s="24">
        <f>A109+1</f>
        <v>45954</v>
      </c>
      <c r="B110" s="23" t="s">
        <v>13</v>
      </c>
      <c r="C110" s="25">
        <v>249935</v>
      </c>
      <c r="D110" s="25">
        <v>13885</v>
      </c>
      <c r="E110" s="25">
        <v>6200</v>
      </c>
      <c r="F110" s="25">
        <v>3381</v>
      </c>
      <c r="G110" s="25">
        <v>273401</v>
      </c>
      <c r="H110" s="26">
        <v>0.11</v>
      </c>
      <c r="I110" s="27">
        <v>0</v>
      </c>
    </row>
    <row r="111" spans="1:9">
      <c r="A111" s="24">
        <f>A109+1</f>
        <v>45954</v>
      </c>
      <c r="B111" s="23" t="s">
        <v>19</v>
      </c>
      <c r="C111" s="25">
        <v>249935</v>
      </c>
      <c r="D111" s="25">
        <v>13885</v>
      </c>
      <c r="E111" s="25">
        <v>6200</v>
      </c>
      <c r="F111" s="25">
        <v>3381</v>
      </c>
      <c r="G111" s="25">
        <v>273401</v>
      </c>
      <c r="H111" s="26">
        <v>0.11</v>
      </c>
      <c r="I111" s="27">
        <v>0</v>
      </c>
    </row>
    <row r="112" spans="1:9">
      <c r="A112" s="24">
        <f>A111+1</f>
        <v>45955</v>
      </c>
      <c r="B112" s="23" t="s">
        <v>13</v>
      </c>
      <c r="C112" s="25">
        <v>249935</v>
      </c>
      <c r="D112" s="25">
        <v>13885</v>
      </c>
      <c r="E112" s="25">
        <v>6200</v>
      </c>
      <c r="F112" s="25">
        <v>3381</v>
      </c>
      <c r="G112" s="25">
        <v>273401</v>
      </c>
      <c r="H112" s="26">
        <v>0.11</v>
      </c>
      <c r="I112" s="27">
        <v>0</v>
      </c>
    </row>
    <row r="113" spans="1:9">
      <c r="A113" s="24">
        <f>A111+1</f>
        <v>45955</v>
      </c>
      <c r="B113" s="23" t="s">
        <v>19</v>
      </c>
      <c r="C113" s="25">
        <v>249935</v>
      </c>
      <c r="D113" s="25">
        <v>13885</v>
      </c>
      <c r="E113" s="25">
        <v>6200</v>
      </c>
      <c r="F113" s="25">
        <v>3381</v>
      </c>
      <c r="G113" s="25">
        <v>273401</v>
      </c>
      <c r="H113" s="26">
        <v>0.11</v>
      </c>
      <c r="I113" s="27">
        <v>0</v>
      </c>
    </row>
    <row r="114" spans="1:9">
      <c r="A114" s="24">
        <f>A113+1</f>
        <v>45956</v>
      </c>
      <c r="B114" s="23" t="s">
        <v>13</v>
      </c>
      <c r="C114" s="25">
        <v>918469</v>
      </c>
      <c r="D114" s="25">
        <v>77107</v>
      </c>
      <c r="E114" s="25">
        <v>14412</v>
      </c>
      <c r="F114" s="25">
        <v>7923</v>
      </c>
      <c r="G114" s="25">
        <v>1017911</v>
      </c>
      <c r="H114" s="26">
        <v>0.39</v>
      </c>
      <c r="I114" s="27">
        <v>0</v>
      </c>
    </row>
    <row r="115" spans="1:9">
      <c r="A115" s="24">
        <f>A113+1</f>
        <v>45956</v>
      </c>
      <c r="B115" s="23" t="s">
        <v>19</v>
      </c>
      <c r="C115" s="25">
        <v>918469</v>
      </c>
      <c r="D115" s="25">
        <v>77107</v>
      </c>
      <c r="E115" s="25">
        <v>14412</v>
      </c>
      <c r="F115" s="25">
        <v>7923</v>
      </c>
      <c r="G115" s="25">
        <v>1017911</v>
      </c>
      <c r="H115" s="26">
        <v>0.39</v>
      </c>
      <c r="I115" s="27">
        <v>0</v>
      </c>
    </row>
    <row r="116" spans="1:9">
      <c r="A116" s="24">
        <f>A115+1</f>
        <v>45957</v>
      </c>
      <c r="B116" s="23" t="s">
        <v>13</v>
      </c>
      <c r="C116" s="25">
        <v>1733650</v>
      </c>
      <c r="D116" s="25">
        <v>156153</v>
      </c>
      <c r="E116" s="25">
        <v>34827</v>
      </c>
      <c r="F116" s="25">
        <v>23496</v>
      </c>
      <c r="G116" s="25">
        <v>1948126</v>
      </c>
      <c r="H116" s="26">
        <v>0.81</v>
      </c>
      <c r="I116" s="27">
        <v>0</v>
      </c>
    </row>
    <row r="117" spans="1:9">
      <c r="A117" s="24">
        <f>A115+1</f>
        <v>45957</v>
      </c>
      <c r="B117" s="23" t="s">
        <v>19</v>
      </c>
      <c r="C117" s="25">
        <v>1733650</v>
      </c>
      <c r="D117" s="25">
        <v>156153</v>
      </c>
      <c r="E117" s="25">
        <v>34827</v>
      </c>
      <c r="F117" s="25">
        <v>23496</v>
      </c>
      <c r="G117" s="25">
        <v>1948126</v>
      </c>
      <c r="H117" s="26">
        <v>0.81</v>
      </c>
      <c r="I117" s="27">
        <v>0</v>
      </c>
    </row>
    <row r="118" spans="1:9">
      <c r="A118" s="24">
        <f>A117+1</f>
        <v>45958</v>
      </c>
      <c r="B118" s="23" t="s">
        <v>13</v>
      </c>
      <c r="C118" s="25">
        <v>2384762</v>
      </c>
      <c r="D118" s="25">
        <v>253996</v>
      </c>
      <c r="E118" s="25">
        <v>60962</v>
      </c>
      <c r="F118" s="25">
        <v>35524</v>
      </c>
      <c r="G118" s="25">
        <v>2735244</v>
      </c>
      <c r="H118" s="26">
        <v>1.2</v>
      </c>
      <c r="I118" s="27">
        <v>0</v>
      </c>
    </row>
    <row r="119" spans="1:9">
      <c r="A119" s="24">
        <f>A117+1</f>
        <v>45958</v>
      </c>
      <c r="B119" s="23" t="s">
        <v>19</v>
      </c>
      <c r="C119" s="25">
        <v>2384762</v>
      </c>
      <c r="D119" s="25">
        <v>253996</v>
      </c>
      <c r="E119" s="25">
        <v>60962</v>
      </c>
      <c r="F119" s="25">
        <v>35524</v>
      </c>
      <c r="G119" s="25">
        <v>2735244</v>
      </c>
      <c r="H119" s="26">
        <v>1.2</v>
      </c>
      <c r="I119" s="27">
        <v>0</v>
      </c>
    </row>
    <row r="120" spans="1:9">
      <c r="A120" s="24">
        <f>A119+1</f>
        <v>45959</v>
      </c>
      <c r="B120" s="23" t="s">
        <v>13</v>
      </c>
      <c r="C120" s="25">
        <v>4012957</v>
      </c>
      <c r="D120" s="25">
        <v>405366</v>
      </c>
      <c r="E120" s="25">
        <v>78311</v>
      </c>
      <c r="F120" s="25">
        <v>46386</v>
      </c>
      <c r="G120" s="25">
        <v>4543020</v>
      </c>
      <c r="H120" s="26">
        <v>1.89</v>
      </c>
      <c r="I120" s="27">
        <v>0</v>
      </c>
    </row>
    <row r="121" spans="1:9">
      <c r="A121" s="24">
        <f>A119+1</f>
        <v>45959</v>
      </c>
      <c r="B121" s="23" t="s">
        <v>19</v>
      </c>
      <c r="C121" s="25">
        <v>4012957</v>
      </c>
      <c r="D121" s="25">
        <v>405366</v>
      </c>
      <c r="E121" s="25">
        <v>78311</v>
      </c>
      <c r="F121" s="25">
        <v>46386</v>
      </c>
      <c r="G121" s="25">
        <v>4543020</v>
      </c>
      <c r="H121" s="26">
        <v>1.89</v>
      </c>
      <c r="I121" s="27">
        <v>0</v>
      </c>
    </row>
    <row r="122" spans="1:9">
      <c r="A122" s="24">
        <f>A121+1</f>
        <v>45960</v>
      </c>
      <c r="B122" s="23" t="s">
        <v>13</v>
      </c>
      <c r="C122" s="25">
        <v>4012957</v>
      </c>
      <c r="D122" s="25">
        <v>405366</v>
      </c>
      <c r="E122" s="25">
        <v>78311</v>
      </c>
      <c r="F122" s="25">
        <v>46386</v>
      </c>
      <c r="G122" s="25">
        <v>4543020</v>
      </c>
      <c r="H122" s="26">
        <v>1.89</v>
      </c>
      <c r="I122" s="27">
        <v>0</v>
      </c>
    </row>
    <row r="123" spans="1:9">
      <c r="A123" s="24">
        <f>A121+1</f>
        <v>45960</v>
      </c>
      <c r="B123" s="23" t="s">
        <v>19</v>
      </c>
      <c r="C123" s="25">
        <v>4012957</v>
      </c>
      <c r="D123" s="25">
        <v>405366</v>
      </c>
      <c r="E123" s="25">
        <v>78311</v>
      </c>
      <c r="F123" s="25">
        <v>46386</v>
      </c>
      <c r="G123" s="25">
        <v>4543020</v>
      </c>
      <c r="H123" s="26">
        <v>1.89</v>
      </c>
      <c r="I123" s="27">
        <v>0</v>
      </c>
    </row>
    <row r="124" spans="1:9">
      <c r="A124" s="24">
        <f>A123+1</f>
        <v>45961</v>
      </c>
      <c r="B124" s="23" t="s">
        <v>13</v>
      </c>
      <c r="C124" s="25">
        <v>4012957</v>
      </c>
      <c r="D124" s="25">
        <v>405366</v>
      </c>
      <c r="E124" s="25">
        <v>78311</v>
      </c>
      <c r="F124" s="25">
        <v>46386</v>
      </c>
      <c r="G124" s="25">
        <v>4543020</v>
      </c>
      <c r="H124" s="26">
        <v>1.89</v>
      </c>
      <c r="I124" s="27">
        <v>0</v>
      </c>
    </row>
    <row r="125" spans="1:9">
      <c r="A125" s="24">
        <f>A123+1</f>
        <v>45961</v>
      </c>
      <c r="B125" s="23" t="s">
        <v>19</v>
      </c>
      <c r="C125" s="25">
        <v>4012957</v>
      </c>
      <c r="D125" s="25">
        <v>405366</v>
      </c>
      <c r="E125" s="25">
        <v>78311</v>
      </c>
      <c r="F125" s="25">
        <v>46386</v>
      </c>
      <c r="G125" s="25">
        <v>4543020</v>
      </c>
      <c r="H125" s="26">
        <v>1.89</v>
      </c>
      <c r="I125" s="27">
        <v>0</v>
      </c>
    </row>
    <row r="126" spans="1:9">
      <c r="A126" s="24">
        <f>A125+1</f>
        <v>45962</v>
      </c>
      <c r="B126" s="23" t="s">
        <v>13</v>
      </c>
      <c r="C126" s="25">
        <v>6269778</v>
      </c>
      <c r="D126" s="25">
        <v>606260</v>
      </c>
      <c r="E126" s="25">
        <v>150581</v>
      </c>
      <c r="F126" s="25">
        <v>68943</v>
      </c>
      <c r="G126" s="25">
        <v>7095562</v>
      </c>
      <c r="H126" s="26">
        <v>2.93</v>
      </c>
      <c r="I126" s="27">
        <v>0</v>
      </c>
    </row>
    <row r="127" spans="1:9">
      <c r="A127" s="24">
        <f>A125+1</f>
        <v>45962</v>
      </c>
      <c r="B127" s="23" t="s">
        <v>19</v>
      </c>
      <c r="C127" s="25">
        <v>6269778</v>
      </c>
      <c r="D127" s="25">
        <v>606260</v>
      </c>
      <c r="E127" s="25">
        <v>150581</v>
      </c>
      <c r="F127" s="25">
        <v>68943</v>
      </c>
      <c r="G127" s="25">
        <v>7095562</v>
      </c>
      <c r="H127" s="26">
        <v>2.93</v>
      </c>
      <c r="I127" s="27">
        <v>0</v>
      </c>
    </row>
    <row r="128" spans="1:9">
      <c r="A128" s="24">
        <f>A127+1</f>
        <v>45963</v>
      </c>
      <c r="B128" s="23" t="s">
        <v>13</v>
      </c>
      <c r="C128" s="25">
        <v>6589331</v>
      </c>
      <c r="D128" s="25">
        <v>690836</v>
      </c>
      <c r="E128" s="25">
        <v>156963</v>
      </c>
      <c r="F128" s="25">
        <v>85459</v>
      </c>
      <c r="G128" s="25">
        <v>7522589</v>
      </c>
      <c r="H128" s="26">
        <v>3.22</v>
      </c>
      <c r="I128" s="27">
        <v>0</v>
      </c>
    </row>
    <row r="129" spans="1:9">
      <c r="A129" s="24">
        <f>A127+1</f>
        <v>45963</v>
      </c>
      <c r="B129" s="23" t="s">
        <v>19</v>
      </c>
      <c r="C129" s="25">
        <v>6589331</v>
      </c>
      <c r="D129" s="25">
        <v>690836</v>
      </c>
      <c r="E129" s="25">
        <v>156963</v>
      </c>
      <c r="F129" s="25">
        <v>85459</v>
      </c>
      <c r="G129" s="25">
        <v>7522589</v>
      </c>
      <c r="H129" s="26">
        <v>3.22</v>
      </c>
      <c r="I129" s="27">
        <v>0</v>
      </c>
    </row>
    <row r="130" spans="1:9">
      <c r="A130" s="24">
        <f>A129+1</f>
        <v>45964</v>
      </c>
      <c r="B130" s="23" t="s">
        <v>13</v>
      </c>
      <c r="C130" s="25">
        <v>7342420</v>
      </c>
      <c r="D130" s="25">
        <v>780441</v>
      </c>
      <c r="E130" s="25">
        <v>170675</v>
      </c>
      <c r="F130" s="25">
        <v>112038</v>
      </c>
      <c r="G130" s="25">
        <v>8405574</v>
      </c>
      <c r="H130" s="26">
        <v>3.7</v>
      </c>
      <c r="I130" s="27">
        <v>0</v>
      </c>
    </row>
    <row r="131" spans="1:9">
      <c r="A131" s="24">
        <f>A129+1</f>
        <v>45964</v>
      </c>
      <c r="B131" s="23" t="s">
        <v>19</v>
      </c>
      <c r="C131" s="25">
        <v>7342420</v>
      </c>
      <c r="D131" s="25">
        <v>780441</v>
      </c>
      <c r="E131" s="25">
        <v>170675</v>
      </c>
      <c r="F131" s="25">
        <v>112038</v>
      </c>
      <c r="G131" s="25">
        <v>8405574</v>
      </c>
      <c r="H131" s="26">
        <v>3.7</v>
      </c>
      <c r="I131" s="27">
        <v>0</v>
      </c>
    </row>
    <row r="132" spans="1:9">
      <c r="A132" s="24">
        <f>A131+1</f>
        <v>45965</v>
      </c>
      <c r="B132" s="23" t="s">
        <v>13</v>
      </c>
      <c r="C132" s="25">
        <v>10079234</v>
      </c>
      <c r="D132" s="25">
        <v>1043313</v>
      </c>
      <c r="E132" s="25">
        <v>199200</v>
      </c>
      <c r="F132" s="25">
        <v>163377</v>
      </c>
      <c r="G132" s="25">
        <v>11485124</v>
      </c>
      <c r="H132" s="26">
        <v>5.05</v>
      </c>
      <c r="I132" s="27">
        <v>0</v>
      </c>
    </row>
    <row r="133" spans="1:9">
      <c r="A133" s="24">
        <f>A131+1</f>
        <v>45965</v>
      </c>
      <c r="B133" s="23" t="s">
        <v>19</v>
      </c>
      <c r="C133" s="25">
        <v>10079234</v>
      </c>
      <c r="D133" s="25">
        <v>1043313</v>
      </c>
      <c r="E133" s="25">
        <v>199200</v>
      </c>
      <c r="F133" s="25">
        <v>163377</v>
      </c>
      <c r="G133" s="25">
        <v>11485124</v>
      </c>
      <c r="H133" s="26">
        <v>5.05</v>
      </c>
      <c r="I133" s="27">
        <v>0</v>
      </c>
    </row>
    <row r="134" spans="1:9">
      <c r="A134" s="24">
        <f>A133+1</f>
        <v>45966</v>
      </c>
      <c r="B134" s="23" t="s">
        <v>13</v>
      </c>
      <c r="C134" s="25">
        <v>13375784</v>
      </c>
      <c r="D134" s="25">
        <v>1296789</v>
      </c>
      <c r="E134" s="25">
        <v>230356</v>
      </c>
      <c r="F134" s="25">
        <v>194661</v>
      </c>
      <c r="G134" s="25">
        <v>15097590</v>
      </c>
      <c r="H134" s="26">
        <v>6.49</v>
      </c>
      <c r="I134" s="27">
        <v>0</v>
      </c>
    </row>
    <row r="135" spans="1:9">
      <c r="A135" s="24">
        <f>A133+1</f>
        <v>45966</v>
      </c>
      <c r="B135" s="23" t="s">
        <v>19</v>
      </c>
      <c r="C135" s="25">
        <v>13375784</v>
      </c>
      <c r="D135" s="25">
        <v>1296789</v>
      </c>
      <c r="E135" s="25">
        <v>230356</v>
      </c>
      <c r="F135" s="25">
        <v>194661</v>
      </c>
      <c r="G135" s="25">
        <v>15097590</v>
      </c>
      <c r="H135" s="26">
        <v>6.49</v>
      </c>
      <c r="I135" s="27">
        <v>0</v>
      </c>
    </row>
    <row r="136" spans="1:9">
      <c r="A136" s="24">
        <f>A135+1</f>
        <v>45967</v>
      </c>
      <c r="B136" s="23" t="s">
        <v>13</v>
      </c>
      <c r="C136" s="25">
        <v>13375784</v>
      </c>
      <c r="D136" s="25">
        <v>1296789</v>
      </c>
      <c r="E136" s="25">
        <v>230356</v>
      </c>
      <c r="F136" s="25">
        <v>194661</v>
      </c>
      <c r="G136" s="25">
        <v>15097590</v>
      </c>
      <c r="H136" s="26">
        <v>7.36</v>
      </c>
      <c r="I136" s="27">
        <v>0</v>
      </c>
    </row>
    <row r="137" spans="1:9">
      <c r="A137" s="24">
        <f>A135+1</f>
        <v>45967</v>
      </c>
      <c r="B137" s="23" t="s">
        <v>19</v>
      </c>
      <c r="C137" s="25">
        <v>13375784</v>
      </c>
      <c r="D137" s="25">
        <v>1296789</v>
      </c>
      <c r="E137" s="25">
        <v>230356</v>
      </c>
      <c r="F137" s="25">
        <v>194661</v>
      </c>
      <c r="G137" s="25">
        <v>15097590</v>
      </c>
      <c r="H137" s="26">
        <v>7.36</v>
      </c>
      <c r="I137" s="27">
        <v>0</v>
      </c>
    </row>
    <row r="138" spans="1:9">
      <c r="A138" s="24">
        <f>A137+1</f>
        <v>45968</v>
      </c>
      <c r="B138" s="23" t="s">
        <v>13</v>
      </c>
      <c r="C138" s="25">
        <v>14803660</v>
      </c>
      <c r="D138" s="25">
        <v>1461824</v>
      </c>
      <c r="E138" s="25">
        <v>260192</v>
      </c>
      <c r="F138" s="25">
        <v>240838</v>
      </c>
      <c r="G138" s="25">
        <v>16766514</v>
      </c>
      <c r="H138" s="26">
        <v>8.6999999999999993</v>
      </c>
      <c r="I138" s="27">
        <v>0</v>
      </c>
    </row>
    <row r="139" spans="1:9">
      <c r="A139" s="24">
        <f>A137+1</f>
        <v>45968</v>
      </c>
      <c r="B139" s="23" t="s">
        <v>19</v>
      </c>
      <c r="C139" s="25">
        <v>14803660</v>
      </c>
      <c r="D139" s="25">
        <v>1461824</v>
      </c>
      <c r="E139" s="25">
        <v>260192</v>
      </c>
      <c r="F139" s="25">
        <v>240838</v>
      </c>
      <c r="G139" s="25">
        <v>16766514</v>
      </c>
      <c r="H139" s="26">
        <v>8.6999999999999993</v>
      </c>
      <c r="I139" s="27">
        <v>0</v>
      </c>
    </row>
    <row r="140" spans="1:9">
      <c r="A140" s="24">
        <f>A139+1</f>
        <v>45969</v>
      </c>
      <c r="B140" s="23" t="s">
        <v>13</v>
      </c>
      <c r="C140" s="25">
        <v>16613936</v>
      </c>
      <c r="D140" s="25">
        <v>1760608</v>
      </c>
      <c r="E140" s="25">
        <v>329916</v>
      </c>
      <c r="F140" s="25">
        <v>313164</v>
      </c>
      <c r="G140" s="25">
        <v>19017624</v>
      </c>
      <c r="H140" s="26">
        <v>9.23</v>
      </c>
      <c r="I140" s="27">
        <v>0</v>
      </c>
    </row>
    <row r="141" spans="1:9">
      <c r="A141" s="24">
        <f>A139+1</f>
        <v>45969</v>
      </c>
      <c r="B141" s="23" t="s">
        <v>19</v>
      </c>
      <c r="C141" s="25">
        <v>16613936</v>
      </c>
      <c r="D141" s="25">
        <v>1760608</v>
      </c>
      <c r="E141" s="25">
        <v>329916</v>
      </c>
      <c r="F141" s="25">
        <v>313164</v>
      </c>
      <c r="G141" s="25">
        <v>19017624</v>
      </c>
      <c r="H141" s="26">
        <v>9.23</v>
      </c>
      <c r="I141" s="27">
        <v>0</v>
      </c>
    </row>
    <row r="142" spans="1:9">
      <c r="A142" s="24">
        <f>A141+1</f>
        <v>45970</v>
      </c>
      <c r="B142" s="23" t="s">
        <v>13</v>
      </c>
      <c r="C142" s="25">
        <v>17180070</v>
      </c>
      <c r="D142" s="25">
        <v>1875237</v>
      </c>
      <c r="E142" s="25">
        <v>385512</v>
      </c>
      <c r="F142" s="25">
        <v>343207</v>
      </c>
      <c r="G142" s="25">
        <v>19784026</v>
      </c>
      <c r="H142" s="26">
        <v>9.41</v>
      </c>
      <c r="I142" s="27">
        <v>0</v>
      </c>
    </row>
    <row r="143" spans="1:9">
      <c r="A143" s="24">
        <f>A141+1</f>
        <v>45970</v>
      </c>
      <c r="B143" s="23" t="s">
        <v>19</v>
      </c>
      <c r="C143" s="25">
        <v>17180070</v>
      </c>
      <c r="D143" s="25">
        <v>1875237</v>
      </c>
      <c r="E143" s="25">
        <v>385512</v>
      </c>
      <c r="F143" s="25">
        <v>343207</v>
      </c>
      <c r="G143" s="25">
        <v>19784026</v>
      </c>
      <c r="H143" s="26">
        <v>9.41</v>
      </c>
      <c r="I143" s="27">
        <v>0</v>
      </c>
    </row>
    <row r="144" spans="1:9">
      <c r="A144" s="24">
        <f>A143+1</f>
        <v>45971</v>
      </c>
      <c r="B144" s="23" t="s">
        <v>13</v>
      </c>
      <c r="C144" s="25">
        <v>17400296</v>
      </c>
      <c r="D144" s="25">
        <v>1914095</v>
      </c>
      <c r="E144" s="25">
        <v>390175</v>
      </c>
      <c r="F144" s="25">
        <v>354007</v>
      </c>
      <c r="G144" s="25">
        <v>20058573</v>
      </c>
      <c r="H144" s="26">
        <v>10.37</v>
      </c>
      <c r="I144" s="27">
        <v>0</v>
      </c>
    </row>
    <row r="145" spans="1:9">
      <c r="A145" s="24">
        <f>A143+1</f>
        <v>45971</v>
      </c>
      <c r="B145" s="23" t="s">
        <v>19</v>
      </c>
      <c r="C145" s="25">
        <v>17400296</v>
      </c>
      <c r="D145" s="25">
        <v>1914095</v>
      </c>
      <c r="E145" s="25">
        <v>390175</v>
      </c>
      <c r="F145" s="25">
        <v>354007</v>
      </c>
      <c r="G145" s="25">
        <v>20058573</v>
      </c>
      <c r="H145" s="26">
        <v>10.37</v>
      </c>
      <c r="I145" s="27">
        <v>0</v>
      </c>
    </row>
    <row r="146" spans="1:9">
      <c r="A146" s="24">
        <f>A145+1</f>
        <v>45972</v>
      </c>
      <c r="B146" s="23" t="s">
        <v>13</v>
      </c>
      <c r="C146" s="25">
        <v>18800334</v>
      </c>
      <c r="D146" s="25">
        <v>2084871</v>
      </c>
      <c r="E146" s="25">
        <v>422219</v>
      </c>
      <c r="F146" s="25">
        <v>410977</v>
      </c>
      <c r="G146" s="25">
        <v>21718401</v>
      </c>
      <c r="H146" s="26">
        <v>10.58</v>
      </c>
      <c r="I146" s="27">
        <v>0</v>
      </c>
    </row>
    <row r="147" spans="1:9">
      <c r="A147" s="24">
        <f>A145+1</f>
        <v>45972</v>
      </c>
      <c r="B147" s="23" t="s">
        <v>19</v>
      </c>
      <c r="C147" s="25">
        <v>18800334</v>
      </c>
      <c r="D147" s="25">
        <v>2084871</v>
      </c>
      <c r="E147" s="25">
        <v>422219</v>
      </c>
      <c r="F147" s="25">
        <v>410977</v>
      </c>
      <c r="G147" s="25">
        <v>21718401</v>
      </c>
      <c r="H147" s="26">
        <v>10.58</v>
      </c>
      <c r="I147" s="27">
        <v>0</v>
      </c>
    </row>
    <row r="148" spans="1:9">
      <c r="A148" s="24">
        <f>A147+1</f>
        <v>45973</v>
      </c>
      <c r="B148" s="23" t="s">
        <v>13</v>
      </c>
      <c r="C148" s="25">
        <v>19080416</v>
      </c>
      <c r="D148" s="25">
        <v>2122291</v>
      </c>
      <c r="E148" s="25">
        <v>431127</v>
      </c>
      <c r="F148" s="25">
        <v>421632</v>
      </c>
      <c r="G148" s="25">
        <v>22058466</v>
      </c>
      <c r="H148" s="26">
        <v>12.38</v>
      </c>
      <c r="I148" s="27">
        <v>0</v>
      </c>
    </row>
    <row r="149" spans="1:9">
      <c r="A149" s="24">
        <f>A147+1</f>
        <v>45973</v>
      </c>
      <c r="B149" s="23" t="s">
        <v>19</v>
      </c>
      <c r="C149" s="25">
        <v>19080416</v>
      </c>
      <c r="D149" s="25">
        <v>2122291</v>
      </c>
      <c r="E149" s="25">
        <v>431127</v>
      </c>
      <c r="F149" s="25">
        <v>421632</v>
      </c>
      <c r="G149" s="25">
        <v>22058466</v>
      </c>
      <c r="H149" s="26">
        <v>12.38</v>
      </c>
      <c r="I149" s="27">
        <v>0</v>
      </c>
    </row>
    <row r="150" spans="1:9">
      <c r="A150" s="24">
        <f>A149+1</f>
        <v>45974</v>
      </c>
      <c r="B150" s="23" t="s">
        <v>13</v>
      </c>
      <c r="C150" s="25">
        <v>22095205</v>
      </c>
      <c r="D150" s="25">
        <v>2486353</v>
      </c>
      <c r="E150" s="25">
        <v>481203</v>
      </c>
      <c r="F150" s="25">
        <v>513015</v>
      </c>
      <c r="G150" s="25">
        <v>25575776</v>
      </c>
      <c r="H150" s="26">
        <v>14.13</v>
      </c>
      <c r="I150" s="27">
        <v>0</v>
      </c>
    </row>
    <row r="151" spans="1:9">
      <c r="A151" s="24">
        <f>A149+1</f>
        <v>45974</v>
      </c>
      <c r="B151" s="23" t="s">
        <v>19</v>
      </c>
      <c r="C151" s="25">
        <v>22095205</v>
      </c>
      <c r="D151" s="25">
        <v>2486353</v>
      </c>
      <c r="E151" s="25">
        <v>481203</v>
      </c>
      <c r="F151" s="25">
        <v>513015</v>
      </c>
      <c r="G151" s="25">
        <v>25575776</v>
      </c>
      <c r="H151" s="26">
        <v>14.13</v>
      </c>
      <c r="I151" s="27">
        <v>0</v>
      </c>
    </row>
    <row r="152" spans="1:9">
      <c r="A152" s="24">
        <f>A151+1</f>
        <v>45975</v>
      </c>
      <c r="B152" s="23" t="s">
        <v>13</v>
      </c>
      <c r="C152" s="25">
        <v>25805521</v>
      </c>
      <c r="D152" s="25">
        <v>2767176</v>
      </c>
      <c r="E152" s="25">
        <v>509924</v>
      </c>
      <c r="F152" s="25">
        <v>585175</v>
      </c>
      <c r="G152" s="25">
        <v>29667796</v>
      </c>
      <c r="H152" s="26">
        <v>15.01</v>
      </c>
      <c r="I152" s="27">
        <v>0</v>
      </c>
    </row>
    <row r="153" spans="1:9">
      <c r="A153" s="24">
        <f>A151+1</f>
        <v>45975</v>
      </c>
      <c r="B153" s="23" t="s">
        <v>19</v>
      </c>
      <c r="C153" s="25">
        <v>25805521</v>
      </c>
      <c r="D153" s="25">
        <v>2767176</v>
      </c>
      <c r="E153" s="25">
        <v>509924</v>
      </c>
      <c r="F153" s="25">
        <v>585175</v>
      </c>
      <c r="G153" s="25">
        <v>29667796</v>
      </c>
      <c r="H153" s="26">
        <v>15.01</v>
      </c>
      <c r="I153" s="27">
        <v>0</v>
      </c>
    </row>
    <row r="154" spans="1:9">
      <c r="A154" s="24">
        <f>A153+1</f>
        <v>45976</v>
      </c>
      <c r="B154" s="23" t="s">
        <v>13</v>
      </c>
      <c r="C154" s="25">
        <v>27280002</v>
      </c>
      <c r="D154" s="25">
        <v>2767176</v>
      </c>
      <c r="E154" s="25">
        <v>734759</v>
      </c>
      <c r="F154" s="25">
        <v>621288</v>
      </c>
      <c r="G154" s="25">
        <v>31403225</v>
      </c>
      <c r="H154" s="26">
        <v>18.52</v>
      </c>
      <c r="I154" s="27">
        <v>0</v>
      </c>
    </row>
    <row r="155" spans="1:9">
      <c r="A155" s="24">
        <f>A153+1</f>
        <v>45976</v>
      </c>
      <c r="B155" s="23" t="s">
        <v>19</v>
      </c>
      <c r="C155" s="25">
        <v>27280002</v>
      </c>
      <c r="D155" s="25">
        <v>2767176</v>
      </c>
      <c r="E155" s="25">
        <v>734759</v>
      </c>
      <c r="F155" s="25">
        <v>621288</v>
      </c>
      <c r="G155" s="25">
        <v>31403225</v>
      </c>
      <c r="H155" s="26">
        <v>18.52</v>
      </c>
      <c r="I155" s="27">
        <v>0</v>
      </c>
    </row>
    <row r="156" spans="1:9">
      <c r="A156" s="24">
        <f>A155+1</f>
        <v>45977</v>
      </c>
      <c r="B156" s="23" t="s">
        <v>13</v>
      </c>
      <c r="C156" s="25">
        <v>34314498</v>
      </c>
      <c r="D156" s="25">
        <v>2767176</v>
      </c>
      <c r="E156" s="25">
        <v>1529642</v>
      </c>
      <c r="F156" s="25">
        <v>742725</v>
      </c>
      <c r="G156" s="25">
        <v>39354041</v>
      </c>
      <c r="H156" s="26">
        <v>18.52</v>
      </c>
      <c r="I156" s="27">
        <v>0</v>
      </c>
    </row>
    <row r="157" spans="1:9">
      <c r="A157" s="24">
        <f>A155+1</f>
        <v>45977</v>
      </c>
      <c r="B157" s="23" t="s">
        <v>19</v>
      </c>
      <c r="C157" s="25">
        <v>34314498</v>
      </c>
      <c r="D157" s="25">
        <v>2767176</v>
      </c>
      <c r="E157" s="25">
        <v>1529642</v>
      </c>
      <c r="F157" s="25">
        <v>742725</v>
      </c>
      <c r="G157" s="25">
        <v>39354041</v>
      </c>
      <c r="H157" s="26">
        <v>18.52</v>
      </c>
      <c r="I157" s="27">
        <v>0</v>
      </c>
    </row>
    <row r="158" spans="1:9">
      <c r="A158" s="24">
        <f>A157+1</f>
        <v>45978</v>
      </c>
      <c r="B158" s="23" t="s">
        <v>13</v>
      </c>
      <c r="C158" s="25">
        <v>35246082</v>
      </c>
      <c r="D158" s="25">
        <v>2767176</v>
      </c>
      <c r="E158" s="25">
        <v>1708677</v>
      </c>
      <c r="F158" s="25">
        <v>772908</v>
      </c>
      <c r="G158" s="25">
        <v>40494843</v>
      </c>
      <c r="H158" s="26">
        <v>19.149999999999999</v>
      </c>
      <c r="I158" s="27">
        <v>0</v>
      </c>
    </row>
    <row r="159" spans="1:9">
      <c r="A159" s="24">
        <f>A157+1</f>
        <v>45978</v>
      </c>
      <c r="B159" s="23" t="s">
        <v>19</v>
      </c>
      <c r="C159" s="25">
        <v>35246082</v>
      </c>
      <c r="D159" s="25">
        <v>2767176</v>
      </c>
      <c r="E159" s="25">
        <v>1708677</v>
      </c>
      <c r="F159" s="25">
        <v>772908</v>
      </c>
      <c r="G159" s="25">
        <v>40494843</v>
      </c>
      <c r="H159" s="26">
        <v>19.149999999999999</v>
      </c>
      <c r="I159" s="27">
        <v>0</v>
      </c>
    </row>
    <row r="160" spans="1:9">
      <c r="A160" s="24">
        <f>A159+1</f>
        <v>45979</v>
      </c>
      <c r="B160" s="23" t="s">
        <v>13</v>
      </c>
      <c r="C160" s="25">
        <v>2043278</v>
      </c>
      <c r="D160" s="25">
        <v>183155</v>
      </c>
      <c r="E160" s="25">
        <v>2563</v>
      </c>
      <c r="F160" s="25">
        <v>42267</v>
      </c>
      <c r="G160" s="25">
        <v>2271263</v>
      </c>
      <c r="H160" s="26">
        <v>0.87</v>
      </c>
      <c r="I160" s="27">
        <v>0</v>
      </c>
    </row>
    <row r="161" spans="1:9">
      <c r="A161" s="24">
        <f>A159+1</f>
        <v>45979</v>
      </c>
      <c r="B161" s="23" t="s">
        <v>19</v>
      </c>
      <c r="C161" s="25">
        <v>2043278</v>
      </c>
      <c r="D161" s="25">
        <v>183155</v>
      </c>
      <c r="E161" s="25">
        <v>2563</v>
      </c>
      <c r="F161" s="25">
        <v>42267</v>
      </c>
      <c r="G161" s="25">
        <v>2271263</v>
      </c>
      <c r="H161" s="26">
        <v>0.87</v>
      </c>
      <c r="I161" s="27">
        <v>0</v>
      </c>
    </row>
    <row r="162" spans="1:9">
      <c r="A162" s="24">
        <f>A161+1</f>
        <v>45980</v>
      </c>
      <c r="B162" s="23" t="s">
        <v>13</v>
      </c>
      <c r="C162" s="25">
        <v>2043278</v>
      </c>
      <c r="D162" s="25">
        <v>183155</v>
      </c>
      <c r="E162" s="25">
        <v>2563</v>
      </c>
      <c r="F162" s="25">
        <v>42267</v>
      </c>
      <c r="G162" s="25">
        <v>2271263</v>
      </c>
      <c r="H162" s="26">
        <v>0.87</v>
      </c>
      <c r="I162" s="27">
        <v>0</v>
      </c>
    </row>
    <row r="163" spans="1:9">
      <c r="A163" s="24">
        <f>A161+1</f>
        <v>45980</v>
      </c>
      <c r="B163" s="23" t="s">
        <v>19</v>
      </c>
      <c r="C163" s="25">
        <v>2043278</v>
      </c>
      <c r="D163" s="25">
        <v>183155</v>
      </c>
      <c r="E163" s="25">
        <v>2563</v>
      </c>
      <c r="F163" s="25">
        <v>42267</v>
      </c>
      <c r="G163" s="25">
        <v>2271263</v>
      </c>
      <c r="H163" s="26">
        <v>0.87</v>
      </c>
      <c r="I163" s="27">
        <v>0</v>
      </c>
    </row>
    <row r="164" spans="1:9">
      <c r="A164" s="24">
        <f>A163+1</f>
        <v>45981</v>
      </c>
      <c r="B164" s="23" t="s">
        <v>13</v>
      </c>
      <c r="C164" s="25">
        <v>2043278</v>
      </c>
      <c r="D164" s="25">
        <v>183155</v>
      </c>
      <c r="E164" s="25">
        <v>2563</v>
      </c>
      <c r="F164" s="25">
        <v>42267</v>
      </c>
      <c r="G164" s="25">
        <v>2271263</v>
      </c>
      <c r="H164" s="26">
        <v>0.87</v>
      </c>
      <c r="I164" s="27">
        <v>0</v>
      </c>
    </row>
    <row r="165" spans="1:9">
      <c r="A165" s="24">
        <f>A163+1</f>
        <v>45981</v>
      </c>
      <c r="B165" s="23" t="s">
        <v>19</v>
      </c>
      <c r="C165" s="25">
        <v>2043278</v>
      </c>
      <c r="D165" s="25">
        <v>183155</v>
      </c>
      <c r="E165" s="25">
        <v>2563</v>
      </c>
      <c r="F165" s="25">
        <v>42267</v>
      </c>
      <c r="G165" s="25">
        <v>2271263</v>
      </c>
      <c r="H165" s="26">
        <v>0.87</v>
      </c>
      <c r="I165" s="27">
        <v>0</v>
      </c>
    </row>
    <row r="166" spans="1:9">
      <c r="A166" s="24">
        <f>A165+1</f>
        <v>45982</v>
      </c>
      <c r="B166" s="23" t="s">
        <v>13</v>
      </c>
      <c r="C166" s="25">
        <v>3227790</v>
      </c>
      <c r="D166" s="25">
        <v>295639</v>
      </c>
      <c r="E166" s="25">
        <v>2563</v>
      </c>
      <c r="F166" s="25">
        <v>67411</v>
      </c>
      <c r="G166" s="25">
        <v>3593403</v>
      </c>
      <c r="H166" s="26">
        <v>1.46</v>
      </c>
      <c r="I166" s="27">
        <v>0</v>
      </c>
    </row>
    <row r="167" spans="1:9">
      <c r="A167" s="24">
        <f>A165+1</f>
        <v>45982</v>
      </c>
      <c r="B167" s="23" t="s">
        <v>19</v>
      </c>
      <c r="C167" s="25">
        <v>3227790</v>
      </c>
      <c r="D167" s="25">
        <v>295639</v>
      </c>
      <c r="E167" s="25">
        <v>2563</v>
      </c>
      <c r="F167" s="25">
        <v>67411</v>
      </c>
      <c r="G167" s="25">
        <v>3593403</v>
      </c>
      <c r="H167" s="26">
        <v>1.46</v>
      </c>
      <c r="I167" s="27">
        <v>0</v>
      </c>
    </row>
    <row r="168" spans="1:9">
      <c r="A168" s="24">
        <f>A167+1</f>
        <v>45983</v>
      </c>
      <c r="B168" s="23" t="s">
        <v>13</v>
      </c>
      <c r="C168" s="25">
        <v>3227790</v>
      </c>
      <c r="D168" s="25">
        <v>295639</v>
      </c>
      <c r="E168" s="25">
        <v>2563</v>
      </c>
      <c r="F168" s="25">
        <v>67411</v>
      </c>
      <c r="G168" s="25">
        <v>3593403</v>
      </c>
      <c r="H168" s="26">
        <v>1.46</v>
      </c>
      <c r="I168" s="27">
        <v>0</v>
      </c>
    </row>
    <row r="169" spans="1:9">
      <c r="A169" s="24">
        <f>A167+1</f>
        <v>45983</v>
      </c>
      <c r="B169" s="23" t="s">
        <v>19</v>
      </c>
      <c r="C169" s="25">
        <v>3227790</v>
      </c>
      <c r="D169" s="25">
        <v>295639</v>
      </c>
      <c r="E169" s="25">
        <v>2563</v>
      </c>
      <c r="F169" s="25">
        <v>67411</v>
      </c>
      <c r="G169" s="25">
        <v>3593403</v>
      </c>
      <c r="H169" s="26">
        <v>1.46</v>
      </c>
      <c r="I169" s="27">
        <v>0</v>
      </c>
    </row>
    <row r="170" spans="1:9">
      <c r="A170" s="24">
        <f>A169+1</f>
        <v>45984</v>
      </c>
      <c r="B170" s="23" t="s">
        <v>13</v>
      </c>
      <c r="C170" s="25">
        <v>3896140</v>
      </c>
      <c r="D170" s="25">
        <v>350657</v>
      </c>
      <c r="E170" s="25">
        <v>2563</v>
      </c>
      <c r="F170" s="25">
        <v>82386</v>
      </c>
      <c r="G170" s="25">
        <v>4331746</v>
      </c>
      <c r="H170" s="26">
        <v>1.79</v>
      </c>
      <c r="I170" s="27">
        <v>0</v>
      </c>
    </row>
    <row r="171" spans="1:9">
      <c r="A171" s="24">
        <f>A169+1</f>
        <v>45984</v>
      </c>
      <c r="B171" s="23" t="s">
        <v>19</v>
      </c>
      <c r="C171" s="25">
        <v>3896140</v>
      </c>
      <c r="D171" s="25">
        <v>350657</v>
      </c>
      <c r="E171" s="25">
        <v>2563</v>
      </c>
      <c r="F171" s="25">
        <v>82386</v>
      </c>
      <c r="G171" s="25">
        <v>4331746</v>
      </c>
      <c r="H171" s="26">
        <v>1.79</v>
      </c>
      <c r="I171" s="27">
        <v>0</v>
      </c>
    </row>
    <row r="172" spans="1:9">
      <c r="A172" s="24">
        <f>A171+1</f>
        <v>45985</v>
      </c>
      <c r="B172" s="23" t="s">
        <v>13</v>
      </c>
      <c r="C172" s="25">
        <v>5778997</v>
      </c>
      <c r="D172" s="25">
        <v>515175</v>
      </c>
      <c r="E172" s="25">
        <v>5443</v>
      </c>
      <c r="F172" s="25">
        <v>116265</v>
      </c>
      <c r="G172" s="25">
        <v>6415880</v>
      </c>
      <c r="H172" s="26">
        <v>2.67</v>
      </c>
      <c r="I172" s="27">
        <v>0</v>
      </c>
    </row>
    <row r="173" spans="1:9">
      <c r="A173" s="24">
        <f>A171+1</f>
        <v>45985</v>
      </c>
      <c r="B173" s="23" t="s">
        <v>19</v>
      </c>
      <c r="C173" s="25">
        <v>5778997</v>
      </c>
      <c r="D173" s="25">
        <v>515175</v>
      </c>
      <c r="E173" s="25">
        <v>5443</v>
      </c>
      <c r="F173" s="25">
        <v>116265</v>
      </c>
      <c r="G173" s="25">
        <v>6415880</v>
      </c>
      <c r="H173" s="26">
        <v>2.67</v>
      </c>
      <c r="I173" s="27">
        <v>0</v>
      </c>
    </row>
    <row r="174" spans="1:9">
      <c r="A174" s="24">
        <f>A173+1</f>
        <v>45986</v>
      </c>
      <c r="B174" s="23" t="s">
        <v>13</v>
      </c>
      <c r="C174" s="25">
        <v>5778997</v>
      </c>
      <c r="D174" s="25">
        <v>515175</v>
      </c>
      <c r="E174" s="25">
        <v>5443</v>
      </c>
      <c r="F174" s="25">
        <v>116265</v>
      </c>
      <c r="G174" s="25">
        <v>6415880</v>
      </c>
      <c r="H174" s="26">
        <v>2.67</v>
      </c>
      <c r="I174" s="27">
        <v>0</v>
      </c>
    </row>
    <row r="175" spans="1:9">
      <c r="A175" s="24">
        <f>A173+1</f>
        <v>45986</v>
      </c>
      <c r="B175" s="23" t="s">
        <v>19</v>
      </c>
      <c r="C175" s="25">
        <v>5778997</v>
      </c>
      <c r="D175" s="25">
        <v>515175</v>
      </c>
      <c r="E175" s="25">
        <v>5443</v>
      </c>
      <c r="F175" s="25">
        <v>116265</v>
      </c>
      <c r="G175" s="25">
        <v>6415880</v>
      </c>
      <c r="H175" s="26">
        <v>2.67</v>
      </c>
      <c r="I175" s="27">
        <v>0</v>
      </c>
    </row>
    <row r="176" spans="1:9">
      <c r="A176" s="24">
        <f>A175+1</f>
        <v>45987</v>
      </c>
      <c r="B176" s="23" t="s">
        <v>13</v>
      </c>
      <c r="C176" s="25">
        <v>8767414</v>
      </c>
      <c r="D176" s="25">
        <v>809899</v>
      </c>
      <c r="E176" s="25">
        <v>7669</v>
      </c>
      <c r="F176" s="25">
        <v>162236</v>
      </c>
      <c r="G176" s="25">
        <v>9747218</v>
      </c>
      <c r="H176" s="26">
        <v>4.05</v>
      </c>
      <c r="I176" s="27">
        <v>0</v>
      </c>
    </row>
    <row r="177" spans="1:9">
      <c r="A177" s="24">
        <f>A175+1</f>
        <v>45987</v>
      </c>
      <c r="B177" s="23" t="s">
        <v>19</v>
      </c>
      <c r="C177" s="25">
        <v>8767414</v>
      </c>
      <c r="D177" s="25">
        <v>809899</v>
      </c>
      <c r="E177" s="25">
        <v>7669</v>
      </c>
      <c r="F177" s="25">
        <v>162236</v>
      </c>
      <c r="G177" s="25">
        <v>9747218</v>
      </c>
      <c r="H177" s="26">
        <v>4.05</v>
      </c>
      <c r="I177" s="27">
        <v>0</v>
      </c>
    </row>
    <row r="178" spans="1:9">
      <c r="A178" s="24">
        <f>A177+1</f>
        <v>45988</v>
      </c>
      <c r="B178" s="23" t="s">
        <v>13</v>
      </c>
      <c r="C178" s="25">
        <v>13438945</v>
      </c>
      <c r="D178" s="25">
        <v>1073867</v>
      </c>
      <c r="E178" s="25">
        <v>7669</v>
      </c>
      <c r="F178" s="25">
        <v>291609</v>
      </c>
      <c r="G178" s="25">
        <v>14812090</v>
      </c>
      <c r="H178" s="26">
        <v>6.35</v>
      </c>
      <c r="I178" s="27">
        <v>0</v>
      </c>
    </row>
    <row r="179" spans="1:9">
      <c r="A179" s="24">
        <f>A177+1</f>
        <v>45988</v>
      </c>
      <c r="B179" s="23" t="s">
        <v>19</v>
      </c>
      <c r="C179" s="25">
        <v>13438945</v>
      </c>
      <c r="D179" s="25">
        <v>1073867</v>
      </c>
      <c r="E179" s="25">
        <v>7669</v>
      </c>
      <c r="F179" s="25">
        <v>291609</v>
      </c>
      <c r="G179" s="25">
        <v>14812090</v>
      </c>
      <c r="H179" s="26">
        <v>6.35</v>
      </c>
      <c r="I179" s="27">
        <v>0</v>
      </c>
    </row>
    <row r="180" spans="1:9">
      <c r="A180" s="24">
        <f>A179+1</f>
        <v>45989</v>
      </c>
      <c r="B180" s="23" t="s">
        <v>13</v>
      </c>
      <c r="C180" s="25">
        <v>15047649</v>
      </c>
      <c r="D180" s="25">
        <v>1220177</v>
      </c>
      <c r="E180" s="25">
        <v>7669</v>
      </c>
      <c r="F180" s="25">
        <v>323908</v>
      </c>
      <c r="G180" s="25">
        <v>16599403</v>
      </c>
      <c r="H180" s="26">
        <v>7.13</v>
      </c>
      <c r="I180" s="27">
        <v>0</v>
      </c>
    </row>
    <row r="181" spans="1:9">
      <c r="A181" s="24">
        <f>A179+1</f>
        <v>45989</v>
      </c>
      <c r="B181" s="23" t="s">
        <v>19</v>
      </c>
      <c r="C181" s="25">
        <v>15047649</v>
      </c>
      <c r="D181" s="25">
        <v>1220177</v>
      </c>
      <c r="E181" s="25">
        <v>7669</v>
      </c>
      <c r="F181" s="25">
        <v>323908</v>
      </c>
      <c r="G181" s="25">
        <v>16599403</v>
      </c>
      <c r="H181" s="26">
        <v>7.13</v>
      </c>
      <c r="I181" s="27">
        <v>0</v>
      </c>
    </row>
    <row r="182" spans="1:9">
      <c r="A182" s="24">
        <f>A181+1</f>
        <v>45990</v>
      </c>
      <c r="B182" s="23" t="s">
        <v>13</v>
      </c>
      <c r="C182" s="25">
        <v>15047649</v>
      </c>
      <c r="D182" s="25">
        <v>1220177</v>
      </c>
      <c r="E182" s="25">
        <v>7669</v>
      </c>
      <c r="F182" s="25">
        <v>323908</v>
      </c>
      <c r="G182" s="25">
        <v>16599403</v>
      </c>
      <c r="H182" s="26">
        <v>7.13</v>
      </c>
      <c r="I182" s="27">
        <v>0</v>
      </c>
    </row>
    <row r="183" spans="1:9">
      <c r="A183" s="24">
        <f>A181+1</f>
        <v>45990</v>
      </c>
      <c r="B183" s="23" t="s">
        <v>19</v>
      </c>
      <c r="C183" s="25">
        <v>15047649</v>
      </c>
      <c r="D183" s="25">
        <v>1220177</v>
      </c>
      <c r="E183" s="25">
        <v>7669</v>
      </c>
      <c r="F183" s="25">
        <v>323908</v>
      </c>
      <c r="G183" s="25">
        <v>16599403</v>
      </c>
      <c r="H183" s="26">
        <v>7.13</v>
      </c>
      <c r="I183" s="27">
        <v>0</v>
      </c>
    </row>
    <row r="184" spans="1:9">
      <c r="A184" s="24">
        <f>A183+1</f>
        <v>45991</v>
      </c>
      <c r="B184" s="23" t="s">
        <v>13</v>
      </c>
      <c r="C184" s="25">
        <v>16952284</v>
      </c>
      <c r="D184" s="25">
        <v>1369082</v>
      </c>
      <c r="E184" s="25">
        <v>12129</v>
      </c>
      <c r="F184" s="25">
        <v>357873</v>
      </c>
      <c r="G184" s="25">
        <v>18691368</v>
      </c>
      <c r="H184" s="26">
        <v>8.01</v>
      </c>
      <c r="I184" s="27">
        <v>0</v>
      </c>
    </row>
    <row r="185" spans="1:9">
      <c r="A185" s="24">
        <f>A183+1</f>
        <v>45991</v>
      </c>
      <c r="B185" s="23" t="s">
        <v>19</v>
      </c>
      <c r="C185" s="25">
        <v>16952284</v>
      </c>
      <c r="D185" s="25">
        <v>1369082</v>
      </c>
      <c r="E185" s="25">
        <v>12129</v>
      </c>
      <c r="F185" s="25">
        <v>357873</v>
      </c>
      <c r="G185" s="25">
        <v>18691368</v>
      </c>
      <c r="H185" s="26">
        <v>8.01</v>
      </c>
      <c r="I185" s="27">
        <v>0</v>
      </c>
    </row>
    <row r="186" spans="1:9">
      <c r="A186" s="24">
        <f>A185+1</f>
        <v>45992</v>
      </c>
      <c r="B186" s="23" t="s">
        <v>13</v>
      </c>
      <c r="C186" s="25">
        <v>20540124</v>
      </c>
      <c r="D186" s="25">
        <v>1623322</v>
      </c>
      <c r="E186" s="25">
        <v>26318</v>
      </c>
      <c r="F186" s="25">
        <v>411410</v>
      </c>
      <c r="G186" s="25">
        <v>22601174</v>
      </c>
      <c r="H186" s="26">
        <v>9.56</v>
      </c>
      <c r="I186" s="27">
        <v>0</v>
      </c>
    </row>
    <row r="187" spans="1:9">
      <c r="A187" s="24">
        <f>A185+1</f>
        <v>45992</v>
      </c>
      <c r="B187" s="23" t="s">
        <v>19</v>
      </c>
      <c r="C187" s="25">
        <v>20540124</v>
      </c>
      <c r="D187" s="25">
        <v>1623322</v>
      </c>
      <c r="E187" s="25">
        <v>26318</v>
      </c>
      <c r="F187" s="25">
        <v>411410</v>
      </c>
      <c r="G187" s="25">
        <v>22601174</v>
      </c>
      <c r="H187" s="26">
        <v>9.56</v>
      </c>
      <c r="I187" s="27">
        <v>0</v>
      </c>
    </row>
    <row r="188" spans="1:9">
      <c r="A188" s="24">
        <f>A187+1</f>
        <v>45993</v>
      </c>
      <c r="B188" s="23" t="s">
        <v>13</v>
      </c>
      <c r="C188" s="25">
        <v>20540124</v>
      </c>
      <c r="D188" s="25">
        <v>1623322</v>
      </c>
      <c r="E188" s="25">
        <v>26318</v>
      </c>
      <c r="F188" s="25">
        <v>411410</v>
      </c>
      <c r="G188" s="25">
        <v>22601174</v>
      </c>
      <c r="H188" s="26">
        <v>9.56</v>
      </c>
      <c r="I188" s="27">
        <v>0</v>
      </c>
    </row>
    <row r="189" spans="1:9">
      <c r="A189" s="24">
        <f>A187+1</f>
        <v>45993</v>
      </c>
      <c r="B189" s="23" t="s">
        <v>19</v>
      </c>
      <c r="C189" s="25">
        <v>20540124</v>
      </c>
      <c r="D189" s="25">
        <v>1623322</v>
      </c>
      <c r="E189" s="25">
        <v>26318</v>
      </c>
      <c r="F189" s="25">
        <v>411410</v>
      </c>
      <c r="G189" s="25">
        <v>22601174</v>
      </c>
      <c r="H189" s="26">
        <v>9.56</v>
      </c>
      <c r="I189" s="27">
        <v>0</v>
      </c>
    </row>
    <row r="190" spans="1:9">
      <c r="A190" s="24">
        <f>A189+1</f>
        <v>45994</v>
      </c>
      <c r="B190" s="23" t="s">
        <v>13</v>
      </c>
      <c r="C190" s="25">
        <v>23750220</v>
      </c>
      <c r="D190" s="25">
        <v>1909381</v>
      </c>
      <c r="E190" s="25">
        <v>57599</v>
      </c>
      <c r="F190" s="25">
        <v>480010</v>
      </c>
      <c r="G190" s="25">
        <v>26197210</v>
      </c>
      <c r="H190" s="26">
        <v>11.18</v>
      </c>
      <c r="I190" s="27">
        <v>0</v>
      </c>
    </row>
    <row r="191" spans="1:9">
      <c r="A191" s="24">
        <f>A189+1</f>
        <v>45994</v>
      </c>
      <c r="B191" s="23" t="s">
        <v>19</v>
      </c>
      <c r="C191" s="25">
        <v>23750220</v>
      </c>
      <c r="D191" s="25">
        <v>1909381</v>
      </c>
      <c r="E191" s="25">
        <v>57599</v>
      </c>
      <c r="F191" s="25">
        <v>480010</v>
      </c>
      <c r="G191" s="25">
        <v>26197210</v>
      </c>
      <c r="H191" s="26">
        <v>11.18</v>
      </c>
      <c r="I191" s="27">
        <v>0</v>
      </c>
    </row>
    <row r="192" spans="1:9">
      <c r="A192" s="24">
        <f>A191+1</f>
        <v>45995</v>
      </c>
      <c r="B192" s="23" t="s">
        <v>13</v>
      </c>
      <c r="C192" s="25">
        <v>23750220</v>
      </c>
      <c r="D192" s="25">
        <v>1909381</v>
      </c>
      <c r="E192" s="25">
        <v>57599</v>
      </c>
      <c r="F192" s="25">
        <v>480010</v>
      </c>
      <c r="G192" s="25">
        <v>26197210</v>
      </c>
      <c r="H192" s="26">
        <v>11.18</v>
      </c>
      <c r="I192" s="27">
        <v>0</v>
      </c>
    </row>
    <row r="193" spans="1:9">
      <c r="A193" s="24">
        <f>A191+1</f>
        <v>45995</v>
      </c>
      <c r="B193" s="23" t="s">
        <v>19</v>
      </c>
      <c r="C193" s="25">
        <v>23750220</v>
      </c>
      <c r="D193" s="25">
        <v>1909381</v>
      </c>
      <c r="E193" s="25">
        <v>57599</v>
      </c>
      <c r="F193" s="25">
        <v>480010</v>
      </c>
      <c r="G193" s="25">
        <v>26197210</v>
      </c>
      <c r="H193" s="26">
        <v>11.18</v>
      </c>
      <c r="I193" s="27">
        <v>0</v>
      </c>
    </row>
    <row r="194" spans="1:9">
      <c r="A194" s="24">
        <f>A193+1</f>
        <v>45996</v>
      </c>
      <c r="B194" s="23" t="s">
        <v>13</v>
      </c>
      <c r="C194" s="25">
        <v>23750220</v>
      </c>
      <c r="D194" s="25">
        <v>1909381</v>
      </c>
      <c r="E194" s="25">
        <v>57599</v>
      </c>
      <c r="F194" s="25">
        <v>480010</v>
      </c>
      <c r="G194" s="25">
        <v>26197210</v>
      </c>
      <c r="H194" s="26">
        <v>11.18</v>
      </c>
      <c r="I194" s="27">
        <v>0</v>
      </c>
    </row>
    <row r="195" spans="1:9">
      <c r="A195" s="24">
        <f>A193+1</f>
        <v>45996</v>
      </c>
      <c r="B195" s="23" t="s">
        <v>19</v>
      </c>
      <c r="C195" s="25">
        <v>23750220</v>
      </c>
      <c r="D195" s="25">
        <v>1909381</v>
      </c>
      <c r="E195" s="25">
        <v>57599</v>
      </c>
      <c r="F195" s="25">
        <v>480010</v>
      </c>
      <c r="G195" s="25">
        <v>26197210</v>
      </c>
      <c r="H195" s="26">
        <v>11.18</v>
      </c>
      <c r="I195" s="27">
        <v>0</v>
      </c>
    </row>
    <row r="196" spans="1:9">
      <c r="A196" s="24">
        <f>A195+1</f>
        <v>45997</v>
      </c>
      <c r="B196" s="23" t="s">
        <v>13</v>
      </c>
      <c r="C196" s="25">
        <v>25030220</v>
      </c>
      <c r="D196" s="25">
        <v>2001981</v>
      </c>
      <c r="E196" s="25">
        <v>57599</v>
      </c>
      <c r="F196" s="25">
        <v>506622</v>
      </c>
      <c r="G196" s="25">
        <v>27596422</v>
      </c>
      <c r="H196" s="26">
        <f>H198-H197</f>
        <v>11.78</v>
      </c>
      <c r="I196" s="27">
        <v>0</v>
      </c>
    </row>
    <row r="197" spans="1:9">
      <c r="A197" s="24">
        <f>A194+1</f>
        <v>45997</v>
      </c>
      <c r="B197" s="23" t="s">
        <v>26</v>
      </c>
      <c r="C197" s="25">
        <v>595025</v>
      </c>
      <c r="D197" s="25">
        <v>56714</v>
      </c>
      <c r="E197" s="25">
        <v>86</v>
      </c>
      <c r="F197" s="25">
        <v>5762</v>
      </c>
      <c r="G197" s="25">
        <v>657587</v>
      </c>
      <c r="H197" s="26">
        <v>0.16</v>
      </c>
      <c r="I197" s="27">
        <v>0</v>
      </c>
    </row>
    <row r="198" spans="1:9">
      <c r="A198" s="24">
        <f>A195+1</f>
        <v>45997</v>
      </c>
      <c r="B198" s="23" t="s">
        <v>19</v>
      </c>
      <c r="C198" s="25">
        <f>SUM(C196:C197)</f>
        <v>25625245</v>
      </c>
      <c r="D198" s="25">
        <f t="shared" ref="D198:G198" si="0">SUM(D196:D197)</f>
        <v>2058695</v>
      </c>
      <c r="E198" s="25">
        <f t="shared" si="0"/>
        <v>57685</v>
      </c>
      <c r="F198" s="25">
        <f t="shared" si="0"/>
        <v>512384</v>
      </c>
      <c r="G198" s="25">
        <f t="shared" si="0"/>
        <v>28254009</v>
      </c>
      <c r="H198" s="26">
        <v>11.94</v>
      </c>
      <c r="I198" s="27">
        <v>0</v>
      </c>
    </row>
    <row r="199" spans="1:9">
      <c r="A199" s="24">
        <f>A198+1</f>
        <v>45998</v>
      </c>
      <c r="B199" s="23" t="s">
        <v>13</v>
      </c>
      <c r="C199" s="25">
        <v>25030220</v>
      </c>
      <c r="D199" s="25">
        <v>2001981</v>
      </c>
      <c r="E199" s="25">
        <v>57599</v>
      </c>
      <c r="F199" s="25">
        <v>506622</v>
      </c>
      <c r="G199" s="25">
        <v>27596422</v>
      </c>
      <c r="H199" s="26">
        <f>H201-H200</f>
        <v>11.78</v>
      </c>
      <c r="I199" s="27">
        <v>0</v>
      </c>
    </row>
    <row r="200" spans="1:9">
      <c r="A200" s="24">
        <f>A197+1</f>
        <v>45998</v>
      </c>
      <c r="B200" s="23" t="s">
        <v>26</v>
      </c>
      <c r="C200" s="25">
        <v>595025</v>
      </c>
      <c r="D200" s="25">
        <v>56714</v>
      </c>
      <c r="E200" s="25">
        <v>86</v>
      </c>
      <c r="F200" s="25">
        <v>5762</v>
      </c>
      <c r="G200" s="25">
        <v>657587</v>
      </c>
      <c r="H200" s="26">
        <v>0.16</v>
      </c>
      <c r="I200" s="27">
        <v>0</v>
      </c>
    </row>
    <row r="201" spans="1:9">
      <c r="A201" s="24">
        <f>A198+1</f>
        <v>45998</v>
      </c>
      <c r="B201" s="23" t="s">
        <v>19</v>
      </c>
      <c r="C201" s="25">
        <f>SUM(C199:C200)</f>
        <v>25625245</v>
      </c>
      <c r="D201" s="25">
        <f t="shared" ref="D201:G201" si="1">SUM(D199:D200)</f>
        <v>2058695</v>
      </c>
      <c r="E201" s="25">
        <f t="shared" si="1"/>
        <v>57685</v>
      </c>
      <c r="F201" s="25">
        <f t="shared" si="1"/>
        <v>512384</v>
      </c>
      <c r="G201" s="25">
        <f t="shared" si="1"/>
        <v>28254009</v>
      </c>
      <c r="H201" s="26">
        <v>11.94</v>
      </c>
      <c r="I201" s="27">
        <v>0</v>
      </c>
    </row>
    <row r="202" spans="1:9">
      <c r="A202" s="24">
        <f>A201+1</f>
        <v>45999</v>
      </c>
      <c r="B202" s="23" t="s">
        <v>13</v>
      </c>
      <c r="C202" s="25">
        <v>25030220</v>
      </c>
      <c r="D202" s="25">
        <v>2001981</v>
      </c>
      <c r="E202" s="25">
        <v>57599</v>
      </c>
      <c r="F202" s="25">
        <v>506622</v>
      </c>
      <c r="G202" s="25">
        <v>27596422</v>
      </c>
      <c r="H202" s="26">
        <f>H204-H203</f>
        <v>11.78</v>
      </c>
      <c r="I202" s="27">
        <v>0</v>
      </c>
    </row>
    <row r="203" spans="1:9">
      <c r="A203" s="24">
        <f>A200+1</f>
        <v>45999</v>
      </c>
      <c r="B203" s="23" t="s">
        <v>26</v>
      </c>
      <c r="C203" s="25">
        <v>595025</v>
      </c>
      <c r="D203" s="25">
        <v>56714</v>
      </c>
      <c r="E203" s="25">
        <v>86</v>
      </c>
      <c r="F203" s="25">
        <v>5762</v>
      </c>
      <c r="G203" s="25">
        <v>657587</v>
      </c>
      <c r="H203" s="26">
        <v>0.16</v>
      </c>
      <c r="I203" s="27">
        <v>0</v>
      </c>
    </row>
    <row r="204" spans="1:9">
      <c r="A204" s="24">
        <f>A201+1</f>
        <v>45999</v>
      </c>
      <c r="B204" s="23" t="s">
        <v>19</v>
      </c>
      <c r="C204" s="25">
        <f>SUM(C202:C203)</f>
        <v>25625245</v>
      </c>
      <c r="D204" s="25">
        <f t="shared" ref="D204:G204" si="2">SUM(D202:D203)</f>
        <v>2058695</v>
      </c>
      <c r="E204" s="25">
        <f t="shared" si="2"/>
        <v>57685</v>
      </c>
      <c r="F204" s="25">
        <f t="shared" si="2"/>
        <v>512384</v>
      </c>
      <c r="G204" s="25">
        <f t="shared" si="2"/>
        <v>28254009</v>
      </c>
      <c r="H204" s="26">
        <v>11.94</v>
      </c>
      <c r="I204" s="27">
        <v>0</v>
      </c>
    </row>
    <row r="205" spans="1:9">
      <c r="A205" s="24">
        <f>A204+1</f>
        <v>46000</v>
      </c>
      <c r="B205" s="23" t="s">
        <v>13</v>
      </c>
      <c r="C205" s="25">
        <v>29406746</v>
      </c>
      <c r="D205" s="25">
        <v>2253080</v>
      </c>
      <c r="E205" s="25">
        <v>57599</v>
      </c>
      <c r="F205" s="25">
        <v>588794</v>
      </c>
      <c r="G205" s="25">
        <v>32306219</v>
      </c>
      <c r="H205" s="26">
        <f>H207-H206</f>
        <v>13.68</v>
      </c>
      <c r="I205" s="27">
        <v>0</v>
      </c>
    </row>
    <row r="206" spans="1:9">
      <c r="A206" s="24">
        <f>A203+1</f>
        <v>46000</v>
      </c>
      <c r="B206" s="23" t="s">
        <v>26</v>
      </c>
      <c r="C206" s="25">
        <v>595025</v>
      </c>
      <c r="D206" s="25">
        <v>56714</v>
      </c>
      <c r="E206" s="25">
        <v>86</v>
      </c>
      <c r="F206" s="25">
        <v>5762</v>
      </c>
      <c r="G206" s="25">
        <v>657587</v>
      </c>
      <c r="H206" s="26">
        <v>0.16</v>
      </c>
      <c r="I206" s="27">
        <v>0</v>
      </c>
    </row>
    <row r="207" spans="1:9">
      <c r="A207" s="24">
        <f>A204+1</f>
        <v>46000</v>
      </c>
      <c r="B207" s="23" t="s">
        <v>19</v>
      </c>
      <c r="C207" s="25">
        <f>SUM(C205:C206)</f>
        <v>30001771</v>
      </c>
      <c r="D207" s="25">
        <f t="shared" ref="D207:G207" si="3">SUM(D205:D206)</f>
        <v>2309794</v>
      </c>
      <c r="E207" s="25">
        <f t="shared" si="3"/>
        <v>57685</v>
      </c>
      <c r="F207" s="25">
        <f t="shared" si="3"/>
        <v>594556</v>
      </c>
      <c r="G207" s="25">
        <f t="shared" si="3"/>
        <v>32963806</v>
      </c>
      <c r="H207" s="26">
        <v>13.84</v>
      </c>
      <c r="I207" s="27">
        <v>0</v>
      </c>
    </row>
    <row r="208" spans="1:9">
      <c r="A208" s="24">
        <f>A207+1</f>
        <v>46001</v>
      </c>
      <c r="B208" s="23" t="s">
        <v>13</v>
      </c>
      <c r="C208" s="25">
        <v>29406746</v>
      </c>
      <c r="D208" s="25">
        <v>2253080</v>
      </c>
      <c r="E208" s="25">
        <v>57599</v>
      </c>
      <c r="F208" s="25">
        <v>588794</v>
      </c>
      <c r="G208" s="25">
        <v>32306219</v>
      </c>
      <c r="H208" s="26">
        <f>H210-H209</f>
        <v>13.68</v>
      </c>
      <c r="I208" s="27">
        <v>0</v>
      </c>
    </row>
    <row r="209" spans="1:9">
      <c r="A209" s="24">
        <f>A206+1</f>
        <v>46001</v>
      </c>
      <c r="B209" s="23" t="s">
        <v>26</v>
      </c>
      <c r="C209" s="25">
        <v>595025</v>
      </c>
      <c r="D209" s="25">
        <v>56714</v>
      </c>
      <c r="E209" s="25">
        <v>86</v>
      </c>
      <c r="F209" s="25">
        <v>5762</v>
      </c>
      <c r="G209" s="25">
        <v>657587</v>
      </c>
      <c r="H209" s="26">
        <v>0.16</v>
      </c>
      <c r="I209" s="27">
        <v>0</v>
      </c>
    </row>
    <row r="210" spans="1:9">
      <c r="A210" s="24">
        <f>A207+1</f>
        <v>46001</v>
      </c>
      <c r="B210" s="23" t="s">
        <v>19</v>
      </c>
      <c r="C210" s="25">
        <f>SUM(C208:C209)</f>
        <v>30001771</v>
      </c>
      <c r="D210" s="25">
        <f t="shared" ref="D210:G210" si="4">SUM(D208:D209)</f>
        <v>2309794</v>
      </c>
      <c r="E210" s="25">
        <f t="shared" si="4"/>
        <v>57685</v>
      </c>
      <c r="F210" s="25">
        <f t="shared" si="4"/>
        <v>594556</v>
      </c>
      <c r="G210" s="25">
        <f t="shared" si="4"/>
        <v>32963806</v>
      </c>
      <c r="H210" s="26">
        <v>13.84</v>
      </c>
      <c r="I210" s="27">
        <v>0</v>
      </c>
    </row>
    <row r="211" spans="1:9">
      <c r="A211" s="24">
        <f>A210+1</f>
        <v>46002</v>
      </c>
      <c r="B211" s="23" t="s">
        <v>13</v>
      </c>
      <c r="C211" s="25">
        <v>29571994</v>
      </c>
      <c r="D211" s="25">
        <v>2270591</v>
      </c>
      <c r="E211" s="25">
        <v>69042</v>
      </c>
      <c r="F211" s="25">
        <v>594318</v>
      </c>
      <c r="G211" s="25">
        <v>32505945</v>
      </c>
      <c r="H211" s="26">
        <f>H213-H212</f>
        <v>13.79</v>
      </c>
      <c r="I211" s="27">
        <v>0</v>
      </c>
    </row>
    <row r="212" spans="1:9">
      <c r="A212" s="24">
        <f>A209+1</f>
        <v>46002</v>
      </c>
      <c r="B212" s="23" t="s">
        <v>26</v>
      </c>
      <c r="C212" s="25">
        <v>595025</v>
      </c>
      <c r="D212" s="25">
        <v>56714</v>
      </c>
      <c r="E212" s="25">
        <v>86</v>
      </c>
      <c r="F212" s="25">
        <v>5762</v>
      </c>
      <c r="G212" s="25">
        <v>657587</v>
      </c>
      <c r="H212" s="26">
        <v>0.16</v>
      </c>
      <c r="I212" s="27">
        <v>0</v>
      </c>
    </row>
    <row r="213" spans="1:9">
      <c r="A213" s="24">
        <f>A210+1</f>
        <v>46002</v>
      </c>
      <c r="B213" s="23" t="s">
        <v>19</v>
      </c>
      <c r="C213" s="25">
        <f>SUM(C211:C212)</f>
        <v>30167019</v>
      </c>
      <c r="D213" s="25">
        <f t="shared" ref="D213:G213" si="5">SUM(D211:D212)</f>
        <v>2327305</v>
      </c>
      <c r="E213" s="25">
        <f t="shared" si="5"/>
        <v>69128</v>
      </c>
      <c r="F213" s="25">
        <f t="shared" si="5"/>
        <v>600080</v>
      </c>
      <c r="G213" s="25">
        <f t="shared" si="5"/>
        <v>33163532</v>
      </c>
      <c r="H213" s="26">
        <v>13.95</v>
      </c>
      <c r="I213" s="27">
        <v>0</v>
      </c>
    </row>
    <row r="214" spans="1:9">
      <c r="A214" s="24">
        <f>A213+1</f>
        <v>46003</v>
      </c>
      <c r="B214" s="23" t="s">
        <v>13</v>
      </c>
      <c r="C214" s="25">
        <v>33011610</v>
      </c>
      <c r="D214" s="25">
        <v>2445245</v>
      </c>
      <c r="E214" s="25">
        <v>282577</v>
      </c>
      <c r="F214" s="25">
        <v>651458</v>
      </c>
      <c r="G214" s="25">
        <v>36390890</v>
      </c>
      <c r="H214" s="26">
        <v>15.47</v>
      </c>
      <c r="I214" s="27">
        <v>0</v>
      </c>
    </row>
    <row r="215" spans="1:9">
      <c r="A215" s="24">
        <f>A212+1</f>
        <v>46003</v>
      </c>
      <c r="B215" s="23" t="s">
        <v>26</v>
      </c>
      <c r="C215" s="25">
        <v>595025</v>
      </c>
      <c r="D215" s="25">
        <v>56714</v>
      </c>
      <c r="E215" s="25">
        <v>86</v>
      </c>
      <c r="F215" s="25">
        <v>5762</v>
      </c>
      <c r="G215" s="25">
        <v>657587</v>
      </c>
      <c r="H215" s="26">
        <v>0.16</v>
      </c>
      <c r="I215" s="27">
        <v>0</v>
      </c>
    </row>
    <row r="216" spans="1:9">
      <c r="A216" s="24">
        <f>A213+1</f>
        <v>46003</v>
      </c>
      <c r="B216" s="23" t="s">
        <v>19</v>
      </c>
      <c r="C216" s="25">
        <f>SUM(C214:C215)</f>
        <v>33606635</v>
      </c>
      <c r="D216" s="25">
        <f t="shared" ref="D216:G216" si="6">SUM(D214:D215)</f>
        <v>2501959</v>
      </c>
      <c r="E216" s="25">
        <f t="shared" si="6"/>
        <v>282663</v>
      </c>
      <c r="F216" s="25">
        <f t="shared" si="6"/>
        <v>657220</v>
      </c>
      <c r="G216" s="25">
        <f t="shared" si="6"/>
        <v>37048477</v>
      </c>
      <c r="H216" s="26">
        <v>15.63</v>
      </c>
      <c r="I216" s="27">
        <v>0</v>
      </c>
    </row>
    <row r="217" spans="1:9">
      <c r="A217" s="24">
        <f>A216+1</f>
        <v>46004</v>
      </c>
      <c r="B217" s="23" t="s">
        <v>13</v>
      </c>
      <c r="C217" s="25">
        <v>33011610</v>
      </c>
      <c r="D217" s="25">
        <v>2445245</v>
      </c>
      <c r="E217" s="25">
        <v>282577</v>
      </c>
      <c r="F217" s="25">
        <v>651458</v>
      </c>
      <c r="G217" s="25">
        <v>36390890</v>
      </c>
      <c r="H217" s="26">
        <v>15.47</v>
      </c>
      <c r="I217" s="27">
        <v>0</v>
      </c>
    </row>
    <row r="218" spans="1:9">
      <c r="A218" s="24">
        <f>A215+1</f>
        <v>46004</v>
      </c>
      <c r="B218" s="23" t="s">
        <v>26</v>
      </c>
      <c r="C218" s="25">
        <v>595025</v>
      </c>
      <c r="D218" s="25">
        <v>56714</v>
      </c>
      <c r="E218" s="25">
        <v>86</v>
      </c>
      <c r="F218" s="25">
        <v>5762</v>
      </c>
      <c r="G218" s="25">
        <v>657587</v>
      </c>
      <c r="H218" s="26">
        <v>0.16</v>
      </c>
      <c r="I218" s="27">
        <v>0</v>
      </c>
    </row>
    <row r="219" spans="1:9">
      <c r="A219" s="24">
        <f>A216+1</f>
        <v>46004</v>
      </c>
      <c r="B219" s="23" t="s">
        <v>19</v>
      </c>
      <c r="C219" s="25">
        <f>SUM(C217:C218)</f>
        <v>33606635</v>
      </c>
      <c r="D219" s="25">
        <f t="shared" ref="D219:G219" si="7">SUM(D217:D218)</f>
        <v>2501959</v>
      </c>
      <c r="E219" s="25">
        <f t="shared" si="7"/>
        <v>282663</v>
      </c>
      <c r="F219" s="25">
        <f t="shared" si="7"/>
        <v>657220</v>
      </c>
      <c r="G219" s="25">
        <f t="shared" si="7"/>
        <v>37048477</v>
      </c>
      <c r="H219" s="26">
        <v>15.63</v>
      </c>
      <c r="I219" s="27">
        <v>0</v>
      </c>
    </row>
    <row r="220" spans="1:9">
      <c r="A220" s="24">
        <f>A219+1</f>
        <v>46005</v>
      </c>
      <c r="B220" s="23" t="s">
        <v>13</v>
      </c>
      <c r="C220" s="25">
        <v>33011610</v>
      </c>
      <c r="D220" s="25">
        <v>2445245</v>
      </c>
      <c r="E220" s="25">
        <v>282577</v>
      </c>
      <c r="F220" s="25">
        <v>651458</v>
      </c>
      <c r="G220" s="25">
        <v>36390890</v>
      </c>
      <c r="H220" s="26">
        <v>15.47</v>
      </c>
      <c r="I220" s="27">
        <v>0</v>
      </c>
    </row>
    <row r="221" spans="1:9">
      <c r="A221" s="24">
        <f>A218+1</f>
        <v>46005</v>
      </c>
      <c r="B221" s="23" t="s">
        <v>26</v>
      </c>
      <c r="C221" s="25">
        <v>595025</v>
      </c>
      <c r="D221" s="25">
        <v>56714</v>
      </c>
      <c r="E221" s="25">
        <v>86</v>
      </c>
      <c r="F221" s="25">
        <v>5762</v>
      </c>
      <c r="G221" s="25">
        <v>657587</v>
      </c>
      <c r="H221" s="26">
        <v>0.16</v>
      </c>
      <c r="I221" s="27">
        <v>0</v>
      </c>
    </row>
    <row r="222" spans="1:9">
      <c r="A222" s="24">
        <f>A219+1</f>
        <v>46005</v>
      </c>
      <c r="B222" s="23" t="s">
        <v>19</v>
      </c>
      <c r="C222" s="25">
        <f>SUM(C220:C221)</f>
        <v>33606635</v>
      </c>
      <c r="D222" s="25">
        <f t="shared" ref="D222:G222" si="8">SUM(D220:D221)</f>
        <v>2501959</v>
      </c>
      <c r="E222" s="25">
        <f t="shared" si="8"/>
        <v>282663</v>
      </c>
      <c r="F222" s="25">
        <f t="shared" si="8"/>
        <v>657220</v>
      </c>
      <c r="G222" s="25">
        <f t="shared" si="8"/>
        <v>37048477</v>
      </c>
      <c r="H222" s="26">
        <f>SUM(H220:H221)</f>
        <v>15.63</v>
      </c>
      <c r="I222" s="27">
        <v>0</v>
      </c>
    </row>
    <row r="223" spans="1:9">
      <c r="A223" s="24">
        <f>A222+1</f>
        <v>46006</v>
      </c>
      <c r="B223" s="23" t="s">
        <v>13</v>
      </c>
      <c r="C223" s="25">
        <v>33108378</v>
      </c>
      <c r="D223" s="25">
        <v>2464428</v>
      </c>
      <c r="E223" s="25">
        <v>283379</v>
      </c>
      <c r="F223" s="25">
        <v>655568</v>
      </c>
      <c r="G223" s="25">
        <v>36511753</v>
      </c>
      <c r="H223" s="26">
        <v>15.54</v>
      </c>
      <c r="I223" s="27">
        <v>0</v>
      </c>
    </row>
    <row r="224" spans="1:9">
      <c r="A224" s="24">
        <f>A221+1</f>
        <v>46006</v>
      </c>
      <c r="B224" s="23" t="s">
        <v>26</v>
      </c>
      <c r="C224" s="25">
        <v>595025</v>
      </c>
      <c r="D224" s="25">
        <v>56714</v>
      </c>
      <c r="E224" s="25">
        <v>86</v>
      </c>
      <c r="F224" s="25">
        <v>5762</v>
      </c>
      <c r="G224" s="25">
        <v>657587</v>
      </c>
      <c r="H224" s="26">
        <v>0.16</v>
      </c>
      <c r="I224" s="27">
        <v>0</v>
      </c>
    </row>
    <row r="225" spans="1:9">
      <c r="A225" s="24">
        <f>A222+1</f>
        <v>46006</v>
      </c>
      <c r="B225" s="23" t="s">
        <v>19</v>
      </c>
      <c r="C225" s="25">
        <f>SUM(C223:C224)</f>
        <v>33703403</v>
      </c>
      <c r="D225" s="25">
        <f t="shared" ref="D225:G225" si="9">SUM(D223:D224)</f>
        <v>2521142</v>
      </c>
      <c r="E225" s="25">
        <f t="shared" si="9"/>
        <v>283465</v>
      </c>
      <c r="F225" s="25">
        <f t="shared" si="9"/>
        <v>661330</v>
      </c>
      <c r="G225" s="25">
        <f t="shared" si="9"/>
        <v>37169340</v>
      </c>
      <c r="H225" s="26">
        <f>SUM(H223:H224)</f>
        <v>15.7</v>
      </c>
      <c r="I225" s="27">
        <v>0</v>
      </c>
    </row>
    <row r="226" spans="1:9">
      <c r="A226" s="24">
        <f>A225+1</f>
        <v>46007</v>
      </c>
      <c r="B226" s="23" t="s">
        <v>13</v>
      </c>
      <c r="C226" s="25">
        <v>39175066</v>
      </c>
      <c r="D226" s="25">
        <v>2755203</v>
      </c>
      <c r="E226" s="25">
        <v>317999</v>
      </c>
      <c r="F226" s="25">
        <v>719178</v>
      </c>
      <c r="G226" s="25">
        <v>42967446</v>
      </c>
      <c r="H226" s="26">
        <v>17.850000000000001</v>
      </c>
      <c r="I226" s="27">
        <v>0</v>
      </c>
    </row>
    <row r="227" spans="1:9">
      <c r="A227" s="24">
        <f>A224+1</f>
        <v>46007</v>
      </c>
      <c r="B227" s="23" t="s">
        <v>26</v>
      </c>
      <c r="C227" s="25">
        <v>595025</v>
      </c>
      <c r="D227" s="25">
        <v>56714</v>
      </c>
      <c r="E227" s="25">
        <v>86</v>
      </c>
      <c r="F227" s="25">
        <v>5762</v>
      </c>
      <c r="G227" s="25">
        <v>657587</v>
      </c>
      <c r="H227" s="26">
        <v>0.16</v>
      </c>
      <c r="I227" s="27">
        <v>0</v>
      </c>
    </row>
    <row r="228" spans="1:9">
      <c r="A228" s="24">
        <f>A225+1</f>
        <v>46007</v>
      </c>
      <c r="B228" s="23" t="s">
        <v>19</v>
      </c>
      <c r="C228" s="25">
        <f>SUM(C226:C227)</f>
        <v>39770091</v>
      </c>
      <c r="D228" s="25">
        <f t="shared" ref="D228:G228" si="10">SUM(D226:D227)</f>
        <v>2811917</v>
      </c>
      <c r="E228" s="25">
        <f t="shared" si="10"/>
        <v>318085</v>
      </c>
      <c r="F228" s="25">
        <f t="shared" si="10"/>
        <v>724940</v>
      </c>
      <c r="G228" s="25">
        <f t="shared" si="10"/>
        <v>43625033</v>
      </c>
      <c r="H228" s="26">
        <f>SUM(H226:H227)</f>
        <v>18.010000000000002</v>
      </c>
      <c r="I228" s="27">
        <v>0</v>
      </c>
    </row>
    <row r="229" spans="1:9">
      <c r="A229" s="24">
        <f>A228+1</f>
        <v>46008</v>
      </c>
      <c r="B229" s="23" t="s">
        <v>13</v>
      </c>
      <c r="C229" s="25">
        <v>39175066</v>
      </c>
      <c r="D229" s="25">
        <v>2755203</v>
      </c>
      <c r="E229" s="25">
        <v>317999</v>
      </c>
      <c r="F229" s="25">
        <v>719178</v>
      </c>
      <c r="G229" s="25">
        <v>42967446</v>
      </c>
      <c r="H229" s="26">
        <v>17.850000000000001</v>
      </c>
      <c r="I229" s="27">
        <v>0</v>
      </c>
    </row>
    <row r="230" spans="1:9">
      <c r="A230" s="24">
        <f>A227+1</f>
        <v>46008</v>
      </c>
      <c r="B230" s="23" t="s">
        <v>26</v>
      </c>
      <c r="C230" s="25">
        <v>595025</v>
      </c>
      <c r="D230" s="25">
        <v>56714</v>
      </c>
      <c r="E230" s="25">
        <v>86</v>
      </c>
      <c r="F230" s="25">
        <v>5762</v>
      </c>
      <c r="G230" s="25">
        <v>657587</v>
      </c>
      <c r="H230" s="26">
        <v>0.16</v>
      </c>
      <c r="I230" s="27">
        <v>0</v>
      </c>
    </row>
    <row r="231" spans="1:9">
      <c r="A231" s="24">
        <f>A228+1</f>
        <v>46008</v>
      </c>
      <c r="B231" s="23" t="s">
        <v>19</v>
      </c>
      <c r="C231" s="25">
        <f>SUM(C229:C230)</f>
        <v>39770091</v>
      </c>
      <c r="D231" s="25">
        <f t="shared" ref="D231:G231" si="11">SUM(D229:D230)</f>
        <v>2811917</v>
      </c>
      <c r="E231" s="25">
        <f t="shared" si="11"/>
        <v>318085</v>
      </c>
      <c r="F231" s="25">
        <f t="shared" si="11"/>
        <v>724940</v>
      </c>
      <c r="G231" s="25">
        <f t="shared" si="11"/>
        <v>43625033</v>
      </c>
      <c r="H231" s="26">
        <f>SUM(H229:H230)</f>
        <v>18.010000000000002</v>
      </c>
      <c r="I231" s="27">
        <v>0</v>
      </c>
    </row>
    <row r="232" spans="1:9">
      <c r="A232" s="24">
        <f>A231+1</f>
        <v>46009</v>
      </c>
      <c r="B232" s="23" t="s">
        <v>19</v>
      </c>
      <c r="C232" s="25">
        <v>0</v>
      </c>
      <c r="D232" s="25">
        <v>0</v>
      </c>
      <c r="E232" s="25">
        <v>0</v>
      </c>
      <c r="F232" s="25">
        <v>0</v>
      </c>
      <c r="G232" s="25">
        <v>0</v>
      </c>
      <c r="H232" s="26">
        <v>0</v>
      </c>
      <c r="I232" s="27">
        <v>0</v>
      </c>
    </row>
    <row r="233" spans="1:9">
      <c r="A233" s="24">
        <f>A232+1</f>
        <v>46010</v>
      </c>
      <c r="B233" s="23" t="s">
        <v>19</v>
      </c>
      <c r="C233" s="25">
        <v>0</v>
      </c>
      <c r="D233" s="25">
        <v>0</v>
      </c>
      <c r="E233" s="25">
        <v>0</v>
      </c>
      <c r="F233" s="25">
        <v>0</v>
      </c>
      <c r="G233" s="25">
        <v>0</v>
      </c>
      <c r="H233" s="26">
        <v>0</v>
      </c>
      <c r="I233" s="27">
        <v>0</v>
      </c>
    </row>
    <row r="234" spans="1:9">
      <c r="A234" s="24">
        <f>A233+1</f>
        <v>46011</v>
      </c>
      <c r="B234" s="23" t="s">
        <v>13</v>
      </c>
      <c r="C234" s="25">
        <v>232654</v>
      </c>
      <c r="D234" s="25">
        <v>44534</v>
      </c>
      <c r="E234" s="25">
        <v>7580</v>
      </c>
      <c r="F234" s="25">
        <v>15563</v>
      </c>
      <c r="G234" s="25">
        <v>300331</v>
      </c>
      <c r="H234" s="26">
        <v>0.22</v>
      </c>
      <c r="I234" s="27">
        <v>0</v>
      </c>
    </row>
    <row r="235" spans="1:9">
      <c r="A235" s="24">
        <f>A233+1</f>
        <v>46011</v>
      </c>
      <c r="B235" s="23" t="s">
        <v>19</v>
      </c>
      <c r="C235" s="25">
        <v>232654</v>
      </c>
      <c r="D235" s="25">
        <v>44534</v>
      </c>
      <c r="E235" s="25">
        <v>7580</v>
      </c>
      <c r="F235" s="25">
        <v>15563</v>
      </c>
      <c r="G235" s="25">
        <v>300331</v>
      </c>
      <c r="H235" s="26">
        <v>0.22</v>
      </c>
      <c r="I235" s="27">
        <v>0</v>
      </c>
    </row>
    <row r="236" spans="1:9">
      <c r="A236" s="24">
        <f>A235+1</f>
        <v>46012</v>
      </c>
      <c r="B236" s="23" t="s">
        <v>13</v>
      </c>
      <c r="C236" s="25">
        <v>5190841</v>
      </c>
      <c r="D236" s="25">
        <v>316020</v>
      </c>
      <c r="E236" s="25">
        <v>60400</v>
      </c>
      <c r="F236" s="25">
        <v>76764</v>
      </c>
      <c r="G236" s="25">
        <v>5644025</v>
      </c>
      <c r="H236" s="26">
        <v>2.2200000000000002</v>
      </c>
      <c r="I236" s="27">
        <v>0</v>
      </c>
    </row>
    <row r="237" spans="1:9">
      <c r="A237" s="24">
        <f>A235+1</f>
        <v>46012</v>
      </c>
      <c r="B237" s="23" t="s">
        <v>19</v>
      </c>
      <c r="C237" s="25">
        <v>5190841</v>
      </c>
      <c r="D237" s="25">
        <v>316020</v>
      </c>
      <c r="E237" s="25">
        <v>60400</v>
      </c>
      <c r="F237" s="25">
        <v>76764</v>
      </c>
      <c r="G237" s="25">
        <v>5644025</v>
      </c>
      <c r="H237" s="26">
        <v>2.2200000000000002</v>
      </c>
      <c r="I237" s="27">
        <v>0</v>
      </c>
    </row>
    <row r="238" spans="1:9">
      <c r="A238" s="24">
        <f>A237+1</f>
        <v>46013</v>
      </c>
      <c r="B238" s="23" t="s">
        <v>13</v>
      </c>
      <c r="C238" s="25">
        <v>5248953</v>
      </c>
      <c r="D238" s="25">
        <v>330106</v>
      </c>
      <c r="E238" s="25">
        <v>60400</v>
      </c>
      <c r="F238" s="25">
        <v>79817</v>
      </c>
      <c r="G238" s="25">
        <v>5719276</v>
      </c>
      <c r="H238" s="26">
        <v>2.27</v>
      </c>
      <c r="I238" s="27">
        <v>0</v>
      </c>
    </row>
    <row r="239" spans="1:9">
      <c r="A239" s="24">
        <f>A237+1</f>
        <v>46013</v>
      </c>
      <c r="B239" s="23" t="s">
        <v>19</v>
      </c>
      <c r="C239" s="25">
        <v>5248953</v>
      </c>
      <c r="D239" s="25">
        <v>330106</v>
      </c>
      <c r="E239" s="25">
        <v>60400</v>
      </c>
      <c r="F239" s="25">
        <v>79817</v>
      </c>
      <c r="G239" s="25">
        <v>5719276</v>
      </c>
      <c r="H239" s="26">
        <v>2.27</v>
      </c>
      <c r="I239" s="27">
        <v>0</v>
      </c>
    </row>
    <row r="240" spans="1:9">
      <c r="A240" s="24">
        <f>A239+1</f>
        <v>46014</v>
      </c>
      <c r="B240" s="23" t="s">
        <v>13</v>
      </c>
      <c r="C240" s="25">
        <v>5321401</v>
      </c>
      <c r="D240" s="25">
        <v>342163</v>
      </c>
      <c r="E240" s="25">
        <v>60400</v>
      </c>
      <c r="F240" s="25">
        <v>81918</v>
      </c>
      <c r="G240" s="25">
        <v>5805882</v>
      </c>
      <c r="H240" s="26">
        <v>2.3199999999999998</v>
      </c>
      <c r="I240" s="27">
        <v>0</v>
      </c>
    </row>
    <row r="241" spans="1:9">
      <c r="A241" s="24">
        <f>A239+1</f>
        <v>46014</v>
      </c>
      <c r="B241" s="23" t="s">
        <v>19</v>
      </c>
      <c r="C241" s="25">
        <v>5321401</v>
      </c>
      <c r="D241" s="25">
        <v>342163</v>
      </c>
      <c r="E241" s="25">
        <v>60400</v>
      </c>
      <c r="F241" s="25">
        <v>81918</v>
      </c>
      <c r="G241" s="25">
        <v>5805882</v>
      </c>
      <c r="H241" s="26">
        <v>2.3199999999999998</v>
      </c>
      <c r="I241" s="27">
        <v>0</v>
      </c>
    </row>
    <row r="242" spans="1:9">
      <c r="A242" s="24">
        <f>A241+1</f>
        <v>46015</v>
      </c>
      <c r="B242" s="23" t="s">
        <v>13</v>
      </c>
      <c r="C242" s="25">
        <v>6280633</v>
      </c>
      <c r="D242" s="25">
        <v>433191</v>
      </c>
      <c r="E242" s="25">
        <v>60400</v>
      </c>
      <c r="F242" s="25">
        <v>101121</v>
      </c>
      <c r="G242" s="25">
        <v>6875345</v>
      </c>
      <c r="H242" s="26">
        <v>2.78</v>
      </c>
      <c r="I242" s="27">
        <v>0</v>
      </c>
    </row>
    <row r="243" spans="1:9">
      <c r="A243" s="24">
        <f>A241+1</f>
        <v>46015</v>
      </c>
      <c r="B243" s="23" t="s">
        <v>19</v>
      </c>
      <c r="C243" s="25">
        <v>6280633</v>
      </c>
      <c r="D243" s="25">
        <v>433191</v>
      </c>
      <c r="E243" s="25">
        <v>60400</v>
      </c>
      <c r="F243" s="25">
        <v>101121</v>
      </c>
      <c r="G243" s="25">
        <v>6875345</v>
      </c>
      <c r="H243" s="26">
        <v>2.78</v>
      </c>
      <c r="I243" s="27">
        <v>0</v>
      </c>
    </row>
    <row r="244" spans="1:9">
      <c r="A244" s="24">
        <f>A243+1</f>
        <v>46016</v>
      </c>
      <c r="B244" s="23" t="s">
        <v>13</v>
      </c>
      <c r="C244" s="25">
        <v>9993230</v>
      </c>
      <c r="D244" s="25">
        <v>709592</v>
      </c>
      <c r="E244" s="25">
        <v>87172</v>
      </c>
      <c r="F244" s="25">
        <v>157644</v>
      </c>
      <c r="G244" s="25">
        <v>10947638</v>
      </c>
      <c r="H244" s="26">
        <v>4.43</v>
      </c>
      <c r="I244" s="27">
        <v>0</v>
      </c>
    </row>
    <row r="245" spans="1:9">
      <c r="A245" s="24">
        <f>A243+1</f>
        <v>46016</v>
      </c>
      <c r="B245" s="23" t="s">
        <v>19</v>
      </c>
      <c r="C245" s="25">
        <v>9993230</v>
      </c>
      <c r="D245" s="25">
        <v>709592</v>
      </c>
      <c r="E245" s="25">
        <v>87172</v>
      </c>
      <c r="F245" s="25">
        <v>157644</v>
      </c>
      <c r="G245" s="25">
        <v>10947638</v>
      </c>
      <c r="H245" s="26">
        <v>4.43</v>
      </c>
      <c r="I245" s="27">
        <v>0</v>
      </c>
    </row>
    <row r="246" spans="1:9">
      <c r="A246" s="24">
        <f>A245+1</f>
        <v>46017</v>
      </c>
      <c r="B246" s="23" t="s">
        <v>13</v>
      </c>
      <c r="C246" s="25">
        <v>9993230</v>
      </c>
      <c r="D246" s="25">
        <v>709592</v>
      </c>
      <c r="E246" s="25">
        <v>87172</v>
      </c>
      <c r="F246" s="25">
        <v>157644</v>
      </c>
      <c r="G246" s="25">
        <v>10947638</v>
      </c>
      <c r="H246" s="26">
        <v>4.43</v>
      </c>
      <c r="I246" s="27">
        <v>0</v>
      </c>
    </row>
    <row r="247" spans="1:9">
      <c r="A247" s="24">
        <f>A245+1</f>
        <v>46017</v>
      </c>
      <c r="B247" s="23" t="s">
        <v>19</v>
      </c>
      <c r="C247" s="25">
        <v>9993230</v>
      </c>
      <c r="D247" s="25">
        <v>709592</v>
      </c>
      <c r="E247" s="25">
        <v>87172</v>
      </c>
      <c r="F247" s="25">
        <v>157644</v>
      </c>
      <c r="G247" s="25">
        <v>10947638</v>
      </c>
      <c r="H247" s="26">
        <v>4.43</v>
      </c>
      <c r="I247" s="27">
        <v>0</v>
      </c>
    </row>
    <row r="248" spans="1:9">
      <c r="A248" s="24">
        <f>A247+1</f>
        <v>46018</v>
      </c>
      <c r="B248" s="23" t="s">
        <v>13</v>
      </c>
      <c r="C248" s="25">
        <v>9993230</v>
      </c>
      <c r="D248" s="25">
        <v>709592</v>
      </c>
      <c r="E248" s="25">
        <v>87172</v>
      </c>
      <c r="F248" s="25">
        <v>157644</v>
      </c>
      <c r="G248" s="25">
        <v>10947638</v>
      </c>
      <c r="H248" s="26">
        <v>4.43</v>
      </c>
      <c r="I248" s="27">
        <v>0</v>
      </c>
    </row>
    <row r="249" spans="1:9">
      <c r="A249" s="24">
        <f>A247+1</f>
        <v>46018</v>
      </c>
      <c r="B249" s="23" t="s">
        <v>19</v>
      </c>
      <c r="C249" s="25">
        <v>9993230</v>
      </c>
      <c r="D249" s="25">
        <v>709592</v>
      </c>
      <c r="E249" s="25">
        <v>87172</v>
      </c>
      <c r="F249" s="25">
        <v>157644</v>
      </c>
      <c r="G249" s="25">
        <v>10947638</v>
      </c>
      <c r="H249" s="26">
        <v>4.43</v>
      </c>
      <c r="I249" s="27">
        <v>0</v>
      </c>
    </row>
    <row r="250" spans="1:9">
      <c r="A250" s="24">
        <f>A249+1</f>
        <v>46019</v>
      </c>
      <c r="B250" s="23" t="s">
        <v>13</v>
      </c>
      <c r="C250" s="25">
        <v>10020110</v>
      </c>
      <c r="D250" s="25">
        <v>713062</v>
      </c>
      <c r="E250" s="25">
        <v>87172</v>
      </c>
      <c r="F250" s="25">
        <v>159038</v>
      </c>
      <c r="G250" s="25">
        <v>10979382</v>
      </c>
      <c r="H250" s="26">
        <v>4.45</v>
      </c>
      <c r="I250" s="27">
        <v>0</v>
      </c>
    </row>
    <row r="251" spans="1:9">
      <c r="A251" s="24">
        <f>A249+1</f>
        <v>46019</v>
      </c>
      <c r="B251" s="23" t="s">
        <v>19</v>
      </c>
      <c r="C251" s="25">
        <v>10020110</v>
      </c>
      <c r="D251" s="25">
        <v>713062</v>
      </c>
      <c r="E251" s="25">
        <v>87172</v>
      </c>
      <c r="F251" s="25">
        <v>159038</v>
      </c>
      <c r="G251" s="25">
        <v>10979382</v>
      </c>
      <c r="H251" s="26">
        <v>4.45</v>
      </c>
      <c r="I251" s="27">
        <v>0</v>
      </c>
    </row>
    <row r="252" spans="1:9">
      <c r="A252" s="24">
        <f>A251+1</f>
        <v>46020</v>
      </c>
      <c r="B252" s="23" t="s">
        <v>13</v>
      </c>
      <c r="C252" s="25">
        <v>10817550</v>
      </c>
      <c r="D252" s="25">
        <v>779066</v>
      </c>
      <c r="E252" s="25">
        <v>87236</v>
      </c>
      <c r="F252" s="25">
        <v>170737</v>
      </c>
      <c r="G252" s="25">
        <v>11854589</v>
      </c>
      <c r="H252" s="26">
        <v>4.79</v>
      </c>
      <c r="I252" s="27">
        <v>0</v>
      </c>
    </row>
    <row r="253" spans="1:9">
      <c r="A253" s="24">
        <f>A251+1</f>
        <v>46020</v>
      </c>
      <c r="B253" s="23" t="s">
        <v>19</v>
      </c>
      <c r="C253" s="25">
        <v>10817550</v>
      </c>
      <c r="D253" s="25">
        <v>779066</v>
      </c>
      <c r="E253" s="25">
        <v>87236</v>
      </c>
      <c r="F253" s="25">
        <v>170737</v>
      </c>
      <c r="G253" s="25">
        <v>11854589</v>
      </c>
      <c r="H253" s="26">
        <v>4.79</v>
      </c>
      <c r="I253" s="27">
        <v>0</v>
      </c>
    </row>
    <row r="254" spans="1:9">
      <c r="A254" s="24">
        <f>A253+1</f>
        <v>46021</v>
      </c>
      <c r="B254" s="23" t="s">
        <v>13</v>
      </c>
      <c r="C254" s="25">
        <v>12158222</v>
      </c>
      <c r="D254" s="25">
        <v>947070</v>
      </c>
      <c r="E254" s="25">
        <v>87236</v>
      </c>
      <c r="F254" s="25">
        <v>190025</v>
      </c>
      <c r="G254" s="25">
        <v>13382553</v>
      </c>
      <c r="H254" s="26">
        <v>5.45</v>
      </c>
      <c r="I254" s="27">
        <v>0</v>
      </c>
    </row>
    <row r="255" spans="1:9">
      <c r="A255" s="24">
        <f>A253+1</f>
        <v>46021</v>
      </c>
      <c r="B255" s="23" t="s">
        <v>19</v>
      </c>
      <c r="C255" s="25">
        <v>12158222</v>
      </c>
      <c r="D255" s="25">
        <v>947070</v>
      </c>
      <c r="E255" s="25">
        <v>87236</v>
      </c>
      <c r="F255" s="25">
        <v>190025</v>
      </c>
      <c r="G255" s="25">
        <v>13382553</v>
      </c>
      <c r="H255" s="26">
        <v>5.45</v>
      </c>
      <c r="I255" s="27">
        <v>0</v>
      </c>
    </row>
    <row r="256" spans="1:9">
      <c r="A256" s="24">
        <f>A255+1</f>
        <v>46022</v>
      </c>
      <c r="B256" s="23" t="s">
        <v>13</v>
      </c>
      <c r="C256" s="25">
        <v>12659673</v>
      </c>
      <c r="D256" s="25">
        <v>1002964</v>
      </c>
      <c r="E256" s="25">
        <v>92519</v>
      </c>
      <c r="F256" s="25">
        <v>195569</v>
      </c>
      <c r="G256" s="25">
        <v>13950725</v>
      </c>
      <c r="H256" s="26">
        <v>5.68</v>
      </c>
      <c r="I256" s="27">
        <v>0</v>
      </c>
    </row>
    <row r="257" spans="1:9">
      <c r="A257" s="24">
        <f>A255+1</f>
        <v>46022</v>
      </c>
      <c r="B257" s="23" t="s">
        <v>19</v>
      </c>
      <c r="C257" s="25">
        <v>12659673</v>
      </c>
      <c r="D257" s="25">
        <v>1002964</v>
      </c>
      <c r="E257" s="25">
        <v>92519</v>
      </c>
      <c r="F257" s="25">
        <v>195569</v>
      </c>
      <c r="G257" s="25">
        <v>13950725</v>
      </c>
      <c r="H257" s="26">
        <v>5.68</v>
      </c>
      <c r="I257" s="27">
        <v>0</v>
      </c>
    </row>
    <row r="258" spans="1:9">
      <c r="A258" s="24">
        <f>A257+1</f>
        <v>46023</v>
      </c>
      <c r="B258" s="23" t="s">
        <v>13</v>
      </c>
      <c r="C258" s="25">
        <v>12659673</v>
      </c>
      <c r="D258" s="25">
        <v>1002964</v>
      </c>
      <c r="E258" s="25">
        <v>92519</v>
      </c>
      <c r="F258" s="25">
        <v>195569</v>
      </c>
      <c r="G258" s="25">
        <v>13950725</v>
      </c>
      <c r="H258" s="26">
        <v>5.68</v>
      </c>
      <c r="I258" s="27">
        <v>0</v>
      </c>
    </row>
    <row r="259" spans="1:9">
      <c r="A259" s="24">
        <f>A257+1</f>
        <v>46023</v>
      </c>
      <c r="B259" s="23" t="s">
        <v>19</v>
      </c>
      <c r="C259" s="25">
        <v>12659673</v>
      </c>
      <c r="D259" s="25">
        <v>1002964</v>
      </c>
      <c r="E259" s="25">
        <v>92519</v>
      </c>
      <c r="F259" s="25">
        <v>195569</v>
      </c>
      <c r="G259" s="25">
        <v>13950725</v>
      </c>
      <c r="H259" s="26">
        <v>5.68</v>
      </c>
      <c r="I259" s="27">
        <v>0</v>
      </c>
    </row>
    <row r="260" spans="1:9">
      <c r="A260" s="24">
        <f>A259+1</f>
        <v>46024</v>
      </c>
      <c r="B260" s="23" t="s">
        <v>13</v>
      </c>
      <c r="C260" s="25">
        <v>15502297</v>
      </c>
      <c r="D260" s="25">
        <v>1154053</v>
      </c>
      <c r="E260" s="25">
        <v>92519</v>
      </c>
      <c r="F260" s="25">
        <v>218172</v>
      </c>
      <c r="G260" s="25">
        <v>16967041</v>
      </c>
      <c r="H260" s="26">
        <v>6.72</v>
      </c>
      <c r="I260" s="27">
        <v>0</v>
      </c>
    </row>
    <row r="261" spans="1:9">
      <c r="A261" s="24">
        <f>A259+1</f>
        <v>46024</v>
      </c>
      <c r="B261" s="23" t="s">
        <v>19</v>
      </c>
      <c r="C261" s="25">
        <v>15502297</v>
      </c>
      <c r="D261" s="25">
        <v>1154053</v>
      </c>
      <c r="E261" s="25">
        <v>92519</v>
      </c>
      <c r="F261" s="25">
        <v>218172</v>
      </c>
      <c r="G261" s="25">
        <v>16967041</v>
      </c>
      <c r="H261" s="26">
        <v>6.72</v>
      </c>
      <c r="I261" s="27">
        <v>0</v>
      </c>
    </row>
    <row r="262" spans="1:9">
      <c r="A262" s="24">
        <f>A261+1</f>
        <v>46025</v>
      </c>
      <c r="B262" s="23" t="s">
        <v>13</v>
      </c>
      <c r="C262" s="25">
        <v>18295001</v>
      </c>
      <c r="D262" s="25">
        <v>1376159</v>
      </c>
      <c r="E262" s="25">
        <v>94491</v>
      </c>
      <c r="F262" s="25">
        <v>246493</v>
      </c>
      <c r="G262" s="25">
        <v>20012144</v>
      </c>
      <c r="H262" s="26">
        <v>7.88</v>
      </c>
      <c r="I262" s="27">
        <v>0</v>
      </c>
    </row>
    <row r="263" spans="1:9">
      <c r="A263" s="24">
        <f>A261+1</f>
        <v>46025</v>
      </c>
      <c r="B263" s="23" t="s">
        <v>19</v>
      </c>
      <c r="C263" s="25">
        <v>18295001</v>
      </c>
      <c r="D263" s="25">
        <v>1376159</v>
      </c>
      <c r="E263" s="25">
        <v>94491</v>
      </c>
      <c r="F263" s="25">
        <v>246493</v>
      </c>
      <c r="G263" s="25">
        <v>20012144</v>
      </c>
      <c r="H263" s="26">
        <v>7.88</v>
      </c>
      <c r="I263" s="27">
        <v>0</v>
      </c>
    </row>
    <row r="264" spans="1:9">
      <c r="A264" s="24">
        <f>A263+1</f>
        <v>46026</v>
      </c>
      <c r="B264" s="23" t="s">
        <v>13</v>
      </c>
      <c r="C264" s="25">
        <v>24093080</v>
      </c>
      <c r="D264" s="25">
        <v>1808363</v>
      </c>
      <c r="E264" s="25">
        <v>235082</v>
      </c>
      <c r="F264" s="25">
        <v>342699</v>
      </c>
      <c r="G264" s="25">
        <v>26479224</v>
      </c>
      <c r="H264" s="26">
        <v>10.63</v>
      </c>
      <c r="I264" s="27">
        <v>0</v>
      </c>
    </row>
    <row r="265" spans="1:9">
      <c r="A265" s="24">
        <f>A263+1</f>
        <v>46026</v>
      </c>
      <c r="B265" s="23" t="s">
        <v>19</v>
      </c>
      <c r="C265" s="25">
        <v>24093080</v>
      </c>
      <c r="D265" s="25">
        <v>1808363</v>
      </c>
      <c r="E265" s="25">
        <v>235082</v>
      </c>
      <c r="F265" s="25">
        <v>342699</v>
      </c>
      <c r="G265" s="25">
        <v>26479224</v>
      </c>
      <c r="H265" s="26">
        <v>10.63</v>
      </c>
      <c r="I265" s="27">
        <v>0</v>
      </c>
    </row>
    <row r="266" spans="1:9">
      <c r="A266" s="24">
        <f>A265+1</f>
        <v>46027</v>
      </c>
      <c r="B266" s="23" t="s">
        <v>13</v>
      </c>
      <c r="C266" s="25">
        <v>29576550</v>
      </c>
      <c r="D266" s="25">
        <v>2347759</v>
      </c>
      <c r="E266" s="25">
        <v>335496</v>
      </c>
      <c r="F266" s="25">
        <v>384835</v>
      </c>
      <c r="G266" s="25">
        <v>32644640</v>
      </c>
      <c r="H266" s="26">
        <v>13.05</v>
      </c>
      <c r="I266" s="27">
        <v>0</v>
      </c>
    </row>
    <row r="267" spans="1:9">
      <c r="A267" s="24">
        <f>A265+1</f>
        <v>46027</v>
      </c>
      <c r="B267" s="23" t="s">
        <v>19</v>
      </c>
      <c r="C267" s="25">
        <v>29576550</v>
      </c>
      <c r="D267" s="25">
        <v>2347759</v>
      </c>
      <c r="E267" s="25">
        <v>335496</v>
      </c>
      <c r="F267" s="25">
        <v>384835</v>
      </c>
      <c r="G267" s="25">
        <v>32644640</v>
      </c>
      <c r="H267" s="26">
        <v>13.05</v>
      </c>
      <c r="I267" s="27">
        <v>0</v>
      </c>
    </row>
    <row r="268" spans="1:9">
      <c r="A268" s="24">
        <f>A267+1</f>
        <v>46028</v>
      </c>
      <c r="B268" s="23" t="s">
        <v>13</v>
      </c>
      <c r="C268" s="25">
        <v>38658643</v>
      </c>
      <c r="D268" s="25">
        <v>3239707</v>
      </c>
      <c r="E268" s="25">
        <v>352818</v>
      </c>
      <c r="F268" s="25">
        <v>510409</v>
      </c>
      <c r="G268" s="25">
        <v>42761577</v>
      </c>
      <c r="H268" s="26">
        <v>17.22</v>
      </c>
      <c r="I268" s="27">
        <v>0</v>
      </c>
    </row>
    <row r="269" spans="1:9">
      <c r="A269" s="24">
        <f>A267+1</f>
        <v>46028</v>
      </c>
      <c r="B269" s="23" t="s">
        <v>19</v>
      </c>
      <c r="C269" s="25">
        <v>38658643</v>
      </c>
      <c r="D269" s="25">
        <v>3239707</v>
      </c>
      <c r="E269" s="25">
        <v>352818</v>
      </c>
      <c r="F269" s="25">
        <v>510409</v>
      </c>
      <c r="G269" s="25">
        <v>42761577</v>
      </c>
      <c r="H269" s="26">
        <v>17.22</v>
      </c>
      <c r="I269" s="27">
        <v>0</v>
      </c>
    </row>
    <row r="270" spans="1:9">
      <c r="A270" s="24">
        <f>A269+1</f>
        <v>46029</v>
      </c>
      <c r="B270" s="23" t="s">
        <v>13</v>
      </c>
      <c r="C270" s="25">
        <v>42766163</v>
      </c>
      <c r="D270" s="25">
        <v>3646140</v>
      </c>
      <c r="E270" s="25">
        <v>412064</v>
      </c>
      <c r="F270" s="25">
        <v>574982</v>
      </c>
      <c r="G270" s="25">
        <v>47399349</v>
      </c>
      <c r="H270" s="26">
        <v>19.21</v>
      </c>
      <c r="I270" s="27">
        <v>0</v>
      </c>
    </row>
    <row r="271" spans="1:9">
      <c r="A271" s="24">
        <f>A269+1</f>
        <v>46029</v>
      </c>
      <c r="B271" s="23" t="s">
        <v>19</v>
      </c>
      <c r="C271" s="25">
        <v>42766163</v>
      </c>
      <c r="D271" s="25">
        <v>3646140</v>
      </c>
      <c r="E271" s="25">
        <v>412064</v>
      </c>
      <c r="F271" s="25">
        <v>574982</v>
      </c>
      <c r="G271" s="25">
        <v>47399349</v>
      </c>
      <c r="H271" s="26">
        <v>19.21</v>
      </c>
      <c r="I271" s="27">
        <v>0</v>
      </c>
    </row>
    <row r="272" spans="1:9">
      <c r="A272" s="24">
        <f>A271+1</f>
        <v>46030</v>
      </c>
      <c r="B272" s="23" t="s">
        <v>13</v>
      </c>
      <c r="C272" s="25">
        <v>46553171</v>
      </c>
      <c r="D272" s="25">
        <v>3887311</v>
      </c>
      <c r="E272" s="25">
        <v>412064</v>
      </c>
      <c r="F272" s="25">
        <v>603773</v>
      </c>
      <c r="G272" s="25">
        <v>51456319</v>
      </c>
      <c r="H272" s="26">
        <v>20.65</v>
      </c>
      <c r="I272" s="27">
        <v>0</v>
      </c>
    </row>
    <row r="273" spans="1:9">
      <c r="A273" s="24">
        <f>A271+1</f>
        <v>46030</v>
      </c>
      <c r="B273" s="23" t="s">
        <v>19</v>
      </c>
      <c r="C273" s="25">
        <v>46553171</v>
      </c>
      <c r="D273" s="25">
        <v>3887311</v>
      </c>
      <c r="E273" s="25">
        <v>412064</v>
      </c>
      <c r="F273" s="25">
        <v>603773</v>
      </c>
      <c r="G273" s="25">
        <v>51456319</v>
      </c>
      <c r="H273" s="26">
        <v>20.65</v>
      </c>
      <c r="I273" s="27">
        <v>0</v>
      </c>
    </row>
    <row r="274" spans="1:9">
      <c r="A274" s="24">
        <f>A273+1</f>
        <v>46031</v>
      </c>
      <c r="B274" s="23" t="s">
        <v>13</v>
      </c>
      <c r="C274" s="25">
        <v>48443988</v>
      </c>
      <c r="D274" s="25">
        <v>4051693</v>
      </c>
      <c r="E274" s="25">
        <v>414057</v>
      </c>
      <c r="F274" s="25">
        <v>620307</v>
      </c>
      <c r="G274" s="25">
        <v>53530045</v>
      </c>
      <c r="H274" s="26">
        <v>21.44</v>
      </c>
      <c r="I274" s="27">
        <v>0</v>
      </c>
    </row>
    <row r="275" spans="1:9">
      <c r="A275" s="24">
        <f>A273+1</f>
        <v>46031</v>
      </c>
      <c r="B275" s="23" t="s">
        <v>19</v>
      </c>
      <c r="C275" s="25">
        <v>48443988</v>
      </c>
      <c r="D275" s="25">
        <v>4051693</v>
      </c>
      <c r="E275" s="25">
        <v>414057</v>
      </c>
      <c r="F275" s="25">
        <v>620307</v>
      </c>
      <c r="G275" s="25">
        <v>53530045</v>
      </c>
      <c r="H275" s="26">
        <v>21.44</v>
      </c>
      <c r="I275" s="27">
        <v>0</v>
      </c>
    </row>
    <row r="276" spans="1:9">
      <c r="A276" s="24">
        <f>A275+1</f>
        <v>46032</v>
      </c>
      <c r="B276" s="23" t="s">
        <v>13</v>
      </c>
      <c r="C276" s="25">
        <v>53093176</v>
      </c>
      <c r="D276" s="25">
        <v>4295678</v>
      </c>
      <c r="E276" s="25">
        <v>550542</v>
      </c>
      <c r="F276" s="25">
        <v>666853</v>
      </c>
      <c r="G276" s="25">
        <v>58606249</v>
      </c>
      <c r="H276" s="26">
        <v>23.35</v>
      </c>
      <c r="I276" s="27">
        <v>0</v>
      </c>
    </row>
    <row r="277" spans="1:9">
      <c r="A277" s="24">
        <f>A275+1</f>
        <v>46032</v>
      </c>
      <c r="B277" s="23" t="s">
        <v>19</v>
      </c>
      <c r="C277" s="25">
        <v>53093176</v>
      </c>
      <c r="D277" s="25">
        <v>4295678</v>
      </c>
      <c r="E277" s="25">
        <v>550542</v>
      </c>
      <c r="F277" s="25">
        <v>666853</v>
      </c>
      <c r="G277" s="25">
        <v>58606249</v>
      </c>
      <c r="H277" s="26">
        <v>23.35</v>
      </c>
      <c r="I277" s="27">
        <v>0</v>
      </c>
    </row>
    <row r="278" spans="1:9">
      <c r="A278" s="24">
        <f>A277+1</f>
        <v>46033</v>
      </c>
      <c r="B278" s="23" t="s">
        <v>13</v>
      </c>
      <c r="C278" s="25">
        <v>54010257</v>
      </c>
      <c r="D278" s="25">
        <v>4418737</v>
      </c>
      <c r="E278" s="25">
        <v>551269</v>
      </c>
      <c r="F278" s="25">
        <v>682683</v>
      </c>
      <c r="G278" s="25">
        <v>59662946</v>
      </c>
      <c r="H278" s="26">
        <v>23.83</v>
      </c>
      <c r="I278" s="27">
        <v>0</v>
      </c>
    </row>
    <row r="279" spans="1:9">
      <c r="A279" s="24">
        <f>A277+1</f>
        <v>46033</v>
      </c>
      <c r="B279" s="23" t="s">
        <v>19</v>
      </c>
      <c r="C279" s="25">
        <v>54010257</v>
      </c>
      <c r="D279" s="25">
        <v>4418737</v>
      </c>
      <c r="E279" s="25">
        <v>551269</v>
      </c>
      <c r="F279" s="25">
        <v>682683</v>
      </c>
      <c r="G279" s="25">
        <v>59662946</v>
      </c>
      <c r="H279" s="26">
        <v>23.83</v>
      </c>
      <c r="I279" s="27">
        <v>0</v>
      </c>
    </row>
    <row r="280" spans="1:9">
      <c r="A280" s="24">
        <f>A279+1</f>
        <v>46034</v>
      </c>
      <c r="B280" s="23" t="s">
        <v>13</v>
      </c>
      <c r="C280" s="25">
        <v>56079761</v>
      </c>
      <c r="D280" s="25">
        <v>4560437</v>
      </c>
      <c r="E280" s="25">
        <v>557701</v>
      </c>
      <c r="F280" s="25">
        <v>725031</v>
      </c>
      <c r="G280" s="25">
        <v>61922930</v>
      </c>
      <c r="H280" s="26">
        <v>25.04</v>
      </c>
      <c r="I280" s="27">
        <v>0</v>
      </c>
    </row>
    <row r="281" spans="1:9">
      <c r="A281" s="24">
        <f>A279+1</f>
        <v>46034</v>
      </c>
      <c r="B281" s="23" t="s">
        <v>19</v>
      </c>
      <c r="C281" s="25">
        <v>56079761</v>
      </c>
      <c r="D281" s="25">
        <v>4560437</v>
      </c>
      <c r="E281" s="25">
        <v>557701</v>
      </c>
      <c r="F281" s="25">
        <v>725031</v>
      </c>
      <c r="G281" s="25">
        <v>61922930</v>
      </c>
      <c r="H281" s="26">
        <v>25.04</v>
      </c>
      <c r="I281" s="27">
        <v>0</v>
      </c>
    </row>
    <row r="282" spans="1:9">
      <c r="A282" s="24">
        <f>A281+1</f>
        <v>46035</v>
      </c>
      <c r="B282" s="23" t="s">
        <v>13</v>
      </c>
      <c r="C282" s="25">
        <v>56079761</v>
      </c>
      <c r="D282" s="25">
        <v>4560437</v>
      </c>
      <c r="E282" s="25">
        <v>557701</v>
      </c>
      <c r="F282" s="25">
        <v>725031</v>
      </c>
      <c r="G282" s="25">
        <v>61922930</v>
      </c>
      <c r="H282" s="26">
        <v>25.04</v>
      </c>
      <c r="I282" s="27">
        <v>0</v>
      </c>
    </row>
    <row r="283" spans="1:9">
      <c r="A283" s="24">
        <f>A281+1</f>
        <v>46035</v>
      </c>
      <c r="B283" s="23" t="s">
        <v>19</v>
      </c>
      <c r="C283" s="25">
        <v>56079761</v>
      </c>
      <c r="D283" s="25">
        <v>4560437</v>
      </c>
      <c r="E283" s="25">
        <v>557701</v>
      </c>
      <c r="F283" s="25">
        <v>725031</v>
      </c>
      <c r="G283" s="25">
        <v>61922930</v>
      </c>
      <c r="H283" s="26">
        <v>25.04</v>
      </c>
      <c r="I283" s="27">
        <v>0</v>
      </c>
    </row>
    <row r="284" spans="1:9">
      <c r="A284" s="24">
        <f>A283+1</f>
        <v>46036</v>
      </c>
      <c r="B284" s="23" t="s">
        <v>13</v>
      </c>
      <c r="C284" s="25">
        <v>56079761</v>
      </c>
      <c r="D284" s="25">
        <v>4560437</v>
      </c>
      <c r="E284" s="25">
        <v>557701</v>
      </c>
      <c r="F284" s="25">
        <v>725031</v>
      </c>
      <c r="G284" s="25">
        <v>61922930</v>
      </c>
      <c r="H284" s="26">
        <v>25.04</v>
      </c>
      <c r="I284" s="27">
        <v>0</v>
      </c>
    </row>
    <row r="285" spans="1:9">
      <c r="A285" s="24">
        <f>A283+1</f>
        <v>46036</v>
      </c>
      <c r="B285" s="23" t="s">
        <v>19</v>
      </c>
      <c r="C285" s="25">
        <v>56079761</v>
      </c>
      <c r="D285" s="25">
        <v>4560437</v>
      </c>
      <c r="E285" s="25">
        <v>557701</v>
      </c>
      <c r="F285" s="25">
        <v>725031</v>
      </c>
      <c r="G285" s="25">
        <v>61922930</v>
      </c>
      <c r="H285" s="26">
        <v>25.04</v>
      </c>
      <c r="I285" s="27">
        <v>0</v>
      </c>
    </row>
    <row r="286" spans="1:9">
      <c r="A286" s="24">
        <f>A285+1</f>
        <v>46037</v>
      </c>
      <c r="B286" s="23" t="s">
        <v>13</v>
      </c>
      <c r="C286" s="25">
        <v>60772042</v>
      </c>
      <c r="D286" s="25">
        <v>4879654</v>
      </c>
      <c r="E286" s="25">
        <v>587781</v>
      </c>
      <c r="F286" s="25">
        <v>789869</v>
      </c>
      <c r="G286" s="25">
        <v>67029346</v>
      </c>
      <c r="H286" s="26">
        <v>27.03</v>
      </c>
      <c r="I286" s="27">
        <v>0</v>
      </c>
    </row>
    <row r="287" spans="1:9">
      <c r="A287" s="24">
        <f>A285+1</f>
        <v>46037</v>
      </c>
      <c r="B287" s="23" t="s">
        <v>19</v>
      </c>
      <c r="C287" s="25">
        <v>60772042</v>
      </c>
      <c r="D287" s="25">
        <v>4879654</v>
      </c>
      <c r="E287" s="25">
        <v>587781</v>
      </c>
      <c r="F287" s="25">
        <v>789869</v>
      </c>
      <c r="G287" s="25">
        <v>67029346</v>
      </c>
      <c r="H287" s="26">
        <v>27.03</v>
      </c>
      <c r="I287" s="27">
        <v>0</v>
      </c>
    </row>
    <row r="288" spans="1:9">
      <c r="A288" s="24">
        <f>A287+1</f>
        <v>46038</v>
      </c>
      <c r="B288" s="23" t="s">
        <v>13</v>
      </c>
      <c r="C288" s="25">
        <v>63539364</v>
      </c>
      <c r="D288" s="25">
        <v>5135976</v>
      </c>
      <c r="E288" s="25">
        <v>608039</v>
      </c>
      <c r="F288" s="25">
        <v>827421</v>
      </c>
      <c r="G288" s="25">
        <v>70110800</v>
      </c>
      <c r="H288" s="26">
        <v>28.26</v>
      </c>
      <c r="I288" s="27">
        <v>0</v>
      </c>
    </row>
    <row r="289" spans="1:9">
      <c r="A289" s="24">
        <f>A287+1</f>
        <v>46038</v>
      </c>
      <c r="B289" s="23" t="s">
        <v>19</v>
      </c>
      <c r="C289" s="25">
        <v>63539364</v>
      </c>
      <c r="D289" s="25">
        <v>5135976</v>
      </c>
      <c r="E289" s="25">
        <v>608039</v>
      </c>
      <c r="F289" s="25">
        <v>827421</v>
      </c>
      <c r="G289" s="25">
        <v>70110800</v>
      </c>
      <c r="H289" s="26">
        <v>28.26</v>
      </c>
      <c r="I289" s="27">
        <v>0</v>
      </c>
    </row>
    <row r="290" spans="1:9">
      <c r="A290" s="24">
        <f>A289+1</f>
        <v>46039</v>
      </c>
      <c r="B290" s="23" t="s">
        <v>13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6">
        <v>0</v>
      </c>
      <c r="I290" s="27">
        <v>0</v>
      </c>
    </row>
    <row r="291" spans="1:9">
      <c r="A291" s="24">
        <f>A289+1</f>
        <v>46039</v>
      </c>
      <c r="B291" s="23" t="s">
        <v>19</v>
      </c>
      <c r="C291" s="25">
        <v>0</v>
      </c>
      <c r="D291" s="25">
        <v>0</v>
      </c>
      <c r="E291" s="25">
        <v>0</v>
      </c>
      <c r="F291" s="25">
        <v>0</v>
      </c>
      <c r="G291" s="25">
        <v>0</v>
      </c>
      <c r="H291" s="26">
        <v>0</v>
      </c>
      <c r="I291" s="27">
        <v>0</v>
      </c>
    </row>
    <row r="292" spans="1:9">
      <c r="A292" s="24">
        <f>A291+1</f>
        <v>46040</v>
      </c>
      <c r="B292" s="23" t="s">
        <v>13</v>
      </c>
      <c r="C292" s="25">
        <v>0</v>
      </c>
      <c r="D292" s="25">
        <v>0</v>
      </c>
      <c r="E292" s="25">
        <v>0</v>
      </c>
      <c r="F292" s="25">
        <v>0</v>
      </c>
      <c r="G292" s="25">
        <v>0</v>
      </c>
      <c r="H292" s="26">
        <v>0</v>
      </c>
      <c r="I292" s="27">
        <v>0</v>
      </c>
    </row>
    <row r="293" spans="1:9">
      <c r="A293" s="24">
        <f>A291+1</f>
        <v>46040</v>
      </c>
      <c r="B293" s="23" t="s">
        <v>19</v>
      </c>
      <c r="C293" s="25">
        <v>0</v>
      </c>
      <c r="D293" s="25">
        <v>0</v>
      </c>
      <c r="E293" s="25">
        <v>0</v>
      </c>
      <c r="F293" s="25">
        <v>0</v>
      </c>
      <c r="G293" s="25">
        <v>0</v>
      </c>
      <c r="H293" s="26">
        <v>0</v>
      </c>
      <c r="I293" s="27">
        <v>0</v>
      </c>
    </row>
    <row r="294" spans="1:9">
      <c r="A294" s="24">
        <f>A293+1</f>
        <v>46041</v>
      </c>
      <c r="B294" s="23" t="s">
        <v>13</v>
      </c>
      <c r="C294" s="25">
        <v>0</v>
      </c>
      <c r="D294" s="25">
        <v>0</v>
      </c>
      <c r="E294" s="25">
        <v>0</v>
      </c>
      <c r="F294" s="25">
        <v>0</v>
      </c>
      <c r="G294" s="25">
        <v>0</v>
      </c>
      <c r="H294" s="26">
        <v>0</v>
      </c>
      <c r="I294" s="27">
        <v>0</v>
      </c>
    </row>
    <row r="295" spans="1:9">
      <c r="A295" s="24">
        <f>A293+1</f>
        <v>46041</v>
      </c>
      <c r="B295" s="23" t="s">
        <v>19</v>
      </c>
      <c r="C295" s="25">
        <v>0</v>
      </c>
      <c r="D295" s="25">
        <v>0</v>
      </c>
      <c r="E295" s="25">
        <v>0</v>
      </c>
      <c r="F295" s="25">
        <v>0</v>
      </c>
      <c r="G295" s="25">
        <v>0</v>
      </c>
      <c r="H295" s="26">
        <v>0</v>
      </c>
      <c r="I295" s="27">
        <v>0</v>
      </c>
    </row>
    <row r="296" spans="1:9">
      <c r="A296" s="24">
        <f>A295+1</f>
        <v>46042</v>
      </c>
      <c r="B296" s="23" t="s">
        <v>13</v>
      </c>
      <c r="C296" s="25">
        <v>0</v>
      </c>
      <c r="D296" s="25">
        <v>0</v>
      </c>
      <c r="E296" s="25">
        <v>0</v>
      </c>
      <c r="F296" s="25">
        <v>0</v>
      </c>
      <c r="G296" s="25">
        <v>0</v>
      </c>
      <c r="H296" s="26">
        <v>0</v>
      </c>
      <c r="I296" s="27">
        <v>0</v>
      </c>
    </row>
    <row r="297" spans="1:9">
      <c r="A297" s="24">
        <f>A295+1</f>
        <v>46042</v>
      </c>
      <c r="B297" s="23" t="s">
        <v>19</v>
      </c>
      <c r="C297" s="25">
        <v>0</v>
      </c>
      <c r="D297" s="25">
        <v>0</v>
      </c>
      <c r="E297" s="25">
        <v>0</v>
      </c>
      <c r="F297" s="25">
        <v>0</v>
      </c>
      <c r="G297" s="25">
        <v>0</v>
      </c>
      <c r="H297" s="26">
        <v>0</v>
      </c>
      <c r="I297" s="27">
        <v>0</v>
      </c>
    </row>
    <row r="298" spans="1:9">
      <c r="A298" s="24">
        <f>A297+1</f>
        <v>46043</v>
      </c>
      <c r="B298" s="23" t="s">
        <v>13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6">
        <v>0</v>
      </c>
      <c r="I298" s="27">
        <v>0</v>
      </c>
    </row>
    <row r="299" spans="1:9">
      <c r="A299" s="24">
        <f>A297+1</f>
        <v>46043</v>
      </c>
      <c r="B299" s="23" t="s">
        <v>19</v>
      </c>
      <c r="C299" s="25">
        <v>0</v>
      </c>
      <c r="D299" s="25">
        <v>0</v>
      </c>
      <c r="E299" s="25">
        <v>0</v>
      </c>
      <c r="F299" s="25">
        <v>0</v>
      </c>
      <c r="G299" s="25">
        <v>0</v>
      </c>
      <c r="H299" s="26">
        <v>0</v>
      </c>
      <c r="I299" s="27">
        <v>0</v>
      </c>
    </row>
    <row r="300" spans="1:9">
      <c r="A300" s="24">
        <f>A299+1</f>
        <v>46044</v>
      </c>
      <c r="B300" s="23" t="s">
        <v>13</v>
      </c>
      <c r="C300" s="25">
        <v>0</v>
      </c>
      <c r="D300" s="25">
        <v>0</v>
      </c>
      <c r="E300" s="25">
        <v>0</v>
      </c>
      <c r="F300" s="25">
        <v>0</v>
      </c>
      <c r="G300" s="25">
        <v>0</v>
      </c>
      <c r="H300" s="26">
        <v>0</v>
      </c>
      <c r="I300" s="27">
        <v>0</v>
      </c>
    </row>
    <row r="301" spans="1:9">
      <c r="A301" s="24">
        <f>A299+1</f>
        <v>46044</v>
      </c>
      <c r="B301" s="23" t="s">
        <v>19</v>
      </c>
      <c r="C301" s="25">
        <v>0</v>
      </c>
      <c r="D301" s="25">
        <v>0</v>
      </c>
      <c r="E301" s="25">
        <v>0</v>
      </c>
      <c r="F301" s="25">
        <v>0</v>
      </c>
      <c r="G301" s="25">
        <v>0</v>
      </c>
      <c r="H301" s="26">
        <v>0</v>
      </c>
      <c r="I301" s="27">
        <v>0</v>
      </c>
    </row>
    <row r="302" spans="1:9">
      <c r="A302" s="24">
        <f>A301+1</f>
        <v>46045</v>
      </c>
      <c r="B302" s="23" t="s">
        <v>13</v>
      </c>
      <c r="C302" s="25">
        <v>0</v>
      </c>
      <c r="D302" s="25">
        <v>0</v>
      </c>
      <c r="E302" s="25">
        <v>0</v>
      </c>
      <c r="F302" s="25">
        <v>0</v>
      </c>
      <c r="G302" s="25">
        <v>0</v>
      </c>
      <c r="H302" s="26">
        <v>0</v>
      </c>
      <c r="I302" s="27">
        <v>0</v>
      </c>
    </row>
    <row r="303" spans="1:9">
      <c r="A303" s="24">
        <f>A301+1</f>
        <v>46045</v>
      </c>
      <c r="B303" s="23" t="s">
        <v>19</v>
      </c>
      <c r="C303" s="25">
        <v>0</v>
      </c>
      <c r="D303" s="25">
        <v>0</v>
      </c>
      <c r="E303" s="25">
        <v>0</v>
      </c>
      <c r="F303" s="25">
        <v>0</v>
      </c>
      <c r="G303" s="25">
        <v>0</v>
      </c>
      <c r="H303" s="26">
        <v>0</v>
      </c>
      <c r="I303" s="27">
        <v>0</v>
      </c>
    </row>
    <row r="304" spans="1:9">
      <c r="A304" s="24">
        <f>A303+1</f>
        <v>46046</v>
      </c>
      <c r="B304" s="23" t="s">
        <v>13</v>
      </c>
      <c r="C304" s="25">
        <v>0</v>
      </c>
      <c r="D304" s="25">
        <v>0</v>
      </c>
      <c r="E304" s="25">
        <v>0</v>
      </c>
      <c r="F304" s="25">
        <v>0</v>
      </c>
      <c r="G304" s="25">
        <v>0</v>
      </c>
      <c r="H304" s="26">
        <v>0</v>
      </c>
      <c r="I304" s="27">
        <v>0</v>
      </c>
    </row>
    <row r="305" spans="1:9">
      <c r="A305" s="24">
        <f>A303+1</f>
        <v>46046</v>
      </c>
      <c r="B305" s="23" t="s">
        <v>19</v>
      </c>
      <c r="C305" s="25">
        <v>0</v>
      </c>
      <c r="D305" s="25">
        <v>0</v>
      </c>
      <c r="E305" s="25">
        <v>0</v>
      </c>
      <c r="F305" s="25">
        <v>0</v>
      </c>
      <c r="G305" s="25">
        <v>0</v>
      </c>
      <c r="H305" s="26">
        <v>0</v>
      </c>
      <c r="I305" s="27">
        <v>0</v>
      </c>
    </row>
    <row r="306" spans="1:9">
      <c r="A306" s="24">
        <f>A305+1</f>
        <v>46047</v>
      </c>
      <c r="B306" s="23" t="s">
        <v>13</v>
      </c>
      <c r="C306" s="25">
        <v>6493440</v>
      </c>
      <c r="D306" s="25">
        <v>361784</v>
      </c>
      <c r="E306" s="25">
        <v>13302</v>
      </c>
      <c r="F306" s="25">
        <v>91748</v>
      </c>
      <c r="G306" s="25">
        <v>6960274</v>
      </c>
      <c r="H306" s="26">
        <v>2.64</v>
      </c>
      <c r="I306" s="27">
        <v>0</v>
      </c>
    </row>
    <row r="307" spans="1:9">
      <c r="A307" s="24">
        <f>A305+1</f>
        <v>46047</v>
      </c>
      <c r="B307" s="23" t="s">
        <v>19</v>
      </c>
      <c r="C307" s="25">
        <v>6493440</v>
      </c>
      <c r="D307" s="25">
        <v>361784</v>
      </c>
      <c r="E307" s="25">
        <v>13302</v>
      </c>
      <c r="F307" s="25">
        <v>91748</v>
      </c>
      <c r="G307" s="25">
        <v>6960274</v>
      </c>
      <c r="H307" s="26">
        <v>2.64</v>
      </c>
      <c r="I307" s="27">
        <v>0</v>
      </c>
    </row>
    <row r="308" spans="1:9">
      <c r="A308" s="24">
        <f>A307+1</f>
        <v>46048</v>
      </c>
      <c r="B308" s="23" t="s">
        <v>13</v>
      </c>
      <c r="C308" s="25">
        <v>9381888</v>
      </c>
      <c r="D308" s="25">
        <v>467609</v>
      </c>
      <c r="E308" s="25">
        <v>13302</v>
      </c>
      <c r="F308" s="25">
        <v>112827</v>
      </c>
      <c r="G308" s="25">
        <v>9975626</v>
      </c>
      <c r="H308" s="26">
        <v>3.64</v>
      </c>
      <c r="I308" s="27">
        <v>0</v>
      </c>
    </row>
    <row r="309" spans="1:9">
      <c r="A309" s="24">
        <f>A307+1</f>
        <v>46048</v>
      </c>
      <c r="B309" s="23" t="s">
        <v>19</v>
      </c>
      <c r="C309" s="25">
        <v>9381888</v>
      </c>
      <c r="D309" s="25">
        <v>467609</v>
      </c>
      <c r="E309" s="25">
        <v>13302</v>
      </c>
      <c r="F309" s="25">
        <v>112827</v>
      </c>
      <c r="G309" s="25">
        <v>9975626</v>
      </c>
      <c r="H309" s="26">
        <v>3.64</v>
      </c>
      <c r="I309" s="27">
        <v>0</v>
      </c>
    </row>
    <row r="310" spans="1:9">
      <c r="A310" s="24">
        <f>A309+1</f>
        <v>46049</v>
      </c>
      <c r="B310" s="23" t="s">
        <v>13</v>
      </c>
      <c r="C310" s="25">
        <v>9467392</v>
      </c>
      <c r="D310" s="25">
        <v>482674</v>
      </c>
      <c r="E310" s="25">
        <v>13302</v>
      </c>
      <c r="F310" s="25">
        <v>114799</v>
      </c>
      <c r="G310" s="25">
        <v>10078167</v>
      </c>
      <c r="H310" s="26">
        <v>3.69</v>
      </c>
      <c r="I310" s="27">
        <v>0</v>
      </c>
    </row>
    <row r="311" spans="1:9">
      <c r="A311" s="24">
        <f>A309+1</f>
        <v>46049</v>
      </c>
      <c r="B311" s="23" t="s">
        <v>19</v>
      </c>
      <c r="C311" s="25">
        <v>9467392</v>
      </c>
      <c r="D311" s="25">
        <v>482674</v>
      </c>
      <c r="E311" s="25">
        <v>13302</v>
      </c>
      <c r="F311" s="25">
        <v>114799</v>
      </c>
      <c r="G311" s="25">
        <v>10078167</v>
      </c>
      <c r="H311" s="26">
        <v>3.69</v>
      </c>
      <c r="I311" s="27">
        <v>0</v>
      </c>
    </row>
    <row r="312" spans="1:9">
      <c r="A312" s="24">
        <f>A311+1</f>
        <v>46050</v>
      </c>
      <c r="B312" s="23" t="s">
        <v>13</v>
      </c>
      <c r="C312" s="25">
        <v>10716880</v>
      </c>
      <c r="D312" s="25">
        <v>966493</v>
      </c>
      <c r="E312" s="25">
        <v>19538</v>
      </c>
      <c r="F312" s="25">
        <v>200246</v>
      </c>
      <c r="G312" s="25">
        <v>11903157</v>
      </c>
      <c r="H312" s="26">
        <v>5.1100000000000003</v>
      </c>
      <c r="I312" s="27">
        <v>0</v>
      </c>
    </row>
    <row r="313" spans="1:9">
      <c r="A313" s="24">
        <f>A311+1</f>
        <v>46050</v>
      </c>
      <c r="B313" s="23" t="s">
        <v>19</v>
      </c>
      <c r="C313" s="25">
        <v>10716880</v>
      </c>
      <c r="D313" s="25">
        <v>966493</v>
      </c>
      <c r="E313" s="25">
        <v>19538</v>
      </c>
      <c r="F313" s="25">
        <v>200246</v>
      </c>
      <c r="G313" s="25">
        <v>11903157</v>
      </c>
      <c r="H313" s="26">
        <v>5.1100000000000003</v>
      </c>
      <c r="I313" s="27">
        <v>0</v>
      </c>
    </row>
    <row r="314" spans="1:9">
      <c r="A314" s="24">
        <f>A313+1</f>
        <v>46051</v>
      </c>
      <c r="B314" s="23" t="s">
        <v>13</v>
      </c>
      <c r="C314" s="25">
        <v>10716880</v>
      </c>
      <c r="D314" s="25">
        <v>966493</v>
      </c>
      <c r="E314" s="25">
        <v>19538</v>
      </c>
      <c r="F314" s="25">
        <v>200246</v>
      </c>
      <c r="G314" s="25">
        <v>11903157</v>
      </c>
      <c r="H314" s="26">
        <v>5.1100000000000003</v>
      </c>
      <c r="I314" s="27">
        <v>0</v>
      </c>
    </row>
    <row r="315" spans="1:9">
      <c r="A315" s="24">
        <f>A313+1</f>
        <v>46051</v>
      </c>
      <c r="B315" s="23" t="s">
        <v>19</v>
      </c>
      <c r="C315" s="25">
        <v>10716880</v>
      </c>
      <c r="D315" s="25">
        <v>966493</v>
      </c>
      <c r="E315" s="25">
        <v>19538</v>
      </c>
      <c r="F315" s="25">
        <v>200246</v>
      </c>
      <c r="G315" s="25">
        <v>11903157</v>
      </c>
      <c r="H315" s="26">
        <v>5.1100000000000003</v>
      </c>
      <c r="I315" s="27">
        <v>0</v>
      </c>
    </row>
    <row r="316" spans="1:9">
      <c r="A316" s="24">
        <f>A315+1</f>
        <v>46052</v>
      </c>
      <c r="B316" s="23" t="s">
        <v>13</v>
      </c>
      <c r="C316" s="25">
        <v>10716880</v>
      </c>
      <c r="D316" s="25">
        <v>966493</v>
      </c>
      <c r="E316" s="25">
        <v>19538</v>
      </c>
      <c r="F316" s="25">
        <v>200246</v>
      </c>
      <c r="G316" s="25">
        <v>11903157</v>
      </c>
      <c r="H316" s="26">
        <v>5.1100000000000003</v>
      </c>
      <c r="I316" s="27">
        <v>0</v>
      </c>
    </row>
    <row r="317" spans="1:9">
      <c r="A317" s="24">
        <f>A315+1</f>
        <v>46052</v>
      </c>
      <c r="B317" s="23" t="s">
        <v>19</v>
      </c>
      <c r="C317" s="25">
        <v>10716880</v>
      </c>
      <c r="D317" s="25">
        <v>966493</v>
      </c>
      <c r="E317" s="25">
        <v>19538</v>
      </c>
      <c r="F317" s="25">
        <v>200246</v>
      </c>
      <c r="G317" s="25">
        <v>11903157</v>
      </c>
      <c r="H317" s="26">
        <v>5.1100000000000003</v>
      </c>
      <c r="I317" s="27">
        <v>0</v>
      </c>
    </row>
    <row r="318" spans="1:9">
      <c r="A318" s="24">
        <f>A317+1</f>
        <v>46053</v>
      </c>
      <c r="B318" s="23" t="s">
        <v>13</v>
      </c>
      <c r="C318" s="25">
        <v>10716880</v>
      </c>
      <c r="D318" s="25">
        <v>966493</v>
      </c>
      <c r="E318" s="25">
        <v>19538</v>
      </c>
      <c r="F318" s="25">
        <v>200246</v>
      </c>
      <c r="G318" s="25">
        <v>11903157</v>
      </c>
      <c r="H318" s="26">
        <v>5.1100000000000003</v>
      </c>
      <c r="I318" s="27">
        <v>0</v>
      </c>
    </row>
    <row r="319" spans="1:9">
      <c r="A319" s="24">
        <f>A317+1</f>
        <v>46053</v>
      </c>
      <c r="B319" s="23" t="s">
        <v>19</v>
      </c>
      <c r="C319" s="25">
        <v>10716880</v>
      </c>
      <c r="D319" s="25">
        <v>966493</v>
      </c>
      <c r="E319" s="25">
        <v>19538</v>
      </c>
      <c r="F319" s="25">
        <v>200246</v>
      </c>
      <c r="G319" s="25">
        <v>11903157</v>
      </c>
      <c r="H319" s="26">
        <v>5.1100000000000003</v>
      </c>
      <c r="I319" s="27">
        <v>0</v>
      </c>
    </row>
    <row r="320" spans="1:9">
      <c r="A320" s="24">
        <f>A319+1</f>
        <v>46054</v>
      </c>
      <c r="B320" s="23" t="s">
        <v>13</v>
      </c>
      <c r="C320" s="25">
        <v>11006211</v>
      </c>
      <c r="D320" s="25">
        <v>994463</v>
      </c>
      <c r="E320" s="25">
        <v>19538</v>
      </c>
      <c r="F320" s="25">
        <v>205169</v>
      </c>
      <c r="G320" s="25">
        <v>12225381</v>
      </c>
      <c r="H320" s="26">
        <v>5.25</v>
      </c>
      <c r="I320" s="27">
        <v>0</v>
      </c>
    </row>
    <row r="321" spans="1:9">
      <c r="A321" s="24">
        <f>A319+1</f>
        <v>46054</v>
      </c>
      <c r="B321" s="23" t="s">
        <v>19</v>
      </c>
      <c r="C321" s="25">
        <v>11006211</v>
      </c>
      <c r="D321" s="25">
        <v>994463</v>
      </c>
      <c r="E321" s="25">
        <v>19538</v>
      </c>
      <c r="F321" s="25">
        <v>205169</v>
      </c>
      <c r="G321" s="25">
        <v>12225381</v>
      </c>
      <c r="H321" s="26">
        <v>5.25</v>
      </c>
      <c r="I321" s="27">
        <v>0</v>
      </c>
    </row>
    <row r="322" spans="1:9">
      <c r="A322" s="24">
        <f>A321+1</f>
        <v>46055</v>
      </c>
      <c r="B322" s="23" t="s">
        <v>13</v>
      </c>
      <c r="C322" s="25">
        <v>17929425</v>
      </c>
      <c r="D322" s="25">
        <v>1237683</v>
      </c>
      <c r="E322" s="25">
        <v>85135</v>
      </c>
      <c r="F322" s="25">
        <v>308053</v>
      </c>
      <c r="G322" s="25">
        <v>19560296</v>
      </c>
      <c r="H322" s="26">
        <v>7.99</v>
      </c>
      <c r="I322" s="27">
        <v>0</v>
      </c>
    </row>
    <row r="323" spans="1:9">
      <c r="A323" s="24">
        <f>A321+1</f>
        <v>46055</v>
      </c>
      <c r="B323" s="23" t="s">
        <v>19</v>
      </c>
      <c r="C323" s="25">
        <v>17929425</v>
      </c>
      <c r="D323" s="25">
        <v>1237683</v>
      </c>
      <c r="E323" s="25">
        <v>85135</v>
      </c>
      <c r="F323" s="25">
        <v>308053</v>
      </c>
      <c r="G323" s="25">
        <v>19560296</v>
      </c>
      <c r="H323" s="26">
        <v>7.99</v>
      </c>
      <c r="I323" s="27">
        <v>0</v>
      </c>
    </row>
    <row r="324" spans="1:9">
      <c r="A324" s="24">
        <f>A323+1</f>
        <v>46056</v>
      </c>
      <c r="B324" s="23" t="s">
        <v>13</v>
      </c>
      <c r="C324" s="25">
        <v>18909313</v>
      </c>
      <c r="D324" s="25">
        <v>1312802</v>
      </c>
      <c r="E324" s="25">
        <v>110993</v>
      </c>
      <c r="F324" s="25">
        <v>327310</v>
      </c>
      <c r="G324" s="25">
        <v>20660418</v>
      </c>
      <c r="H324" s="26">
        <v>8.48</v>
      </c>
      <c r="I324" s="27">
        <v>0</v>
      </c>
    </row>
    <row r="325" spans="1:9">
      <c r="A325" s="24">
        <f>A323+1</f>
        <v>46056</v>
      </c>
      <c r="B325" s="23" t="s">
        <v>19</v>
      </c>
      <c r="C325" s="25">
        <v>18909313</v>
      </c>
      <c r="D325" s="25">
        <v>1312802</v>
      </c>
      <c r="E325" s="25">
        <v>110993</v>
      </c>
      <c r="F325" s="25">
        <v>327310</v>
      </c>
      <c r="G325" s="25">
        <v>20660418</v>
      </c>
      <c r="H325" s="26">
        <v>8.48</v>
      </c>
      <c r="I325" s="27">
        <v>0</v>
      </c>
    </row>
    <row r="326" spans="1:9">
      <c r="A326" s="24">
        <f>A325+1</f>
        <v>46057</v>
      </c>
      <c r="B326" s="23" t="s">
        <v>13</v>
      </c>
      <c r="C326" s="25">
        <v>19915105</v>
      </c>
      <c r="D326" s="25">
        <v>1397547</v>
      </c>
      <c r="E326" s="25">
        <v>110993</v>
      </c>
      <c r="F326" s="25">
        <v>345902</v>
      </c>
      <c r="G326" s="25">
        <v>21769547</v>
      </c>
      <c r="H326" s="26">
        <v>8.9499999999999993</v>
      </c>
      <c r="I326" s="27">
        <v>0</v>
      </c>
    </row>
    <row r="327" spans="1:9">
      <c r="A327" s="24">
        <f>A325+1</f>
        <v>46057</v>
      </c>
      <c r="B327" s="23" t="s">
        <v>19</v>
      </c>
      <c r="C327" s="25">
        <v>19915105</v>
      </c>
      <c r="D327" s="25">
        <v>1397547</v>
      </c>
      <c r="E327" s="25">
        <v>110993</v>
      </c>
      <c r="F327" s="25">
        <v>345902</v>
      </c>
      <c r="G327" s="25">
        <v>21769547</v>
      </c>
      <c r="H327" s="26">
        <v>8.9499999999999993</v>
      </c>
      <c r="I327" s="27">
        <v>0</v>
      </c>
    </row>
    <row r="328" spans="1:9">
      <c r="A328" s="24">
        <f>A327+1</f>
        <v>46058</v>
      </c>
      <c r="B328" s="23" t="s">
        <v>13</v>
      </c>
      <c r="C328" s="25">
        <v>19915105</v>
      </c>
      <c r="D328" s="25">
        <v>1397547</v>
      </c>
      <c r="E328" s="25">
        <v>110993</v>
      </c>
      <c r="F328" s="25">
        <v>345902</v>
      </c>
      <c r="G328" s="25">
        <v>21769547</v>
      </c>
      <c r="H328" s="26">
        <v>8.9499999999999993</v>
      </c>
      <c r="I328" s="27">
        <v>0</v>
      </c>
    </row>
    <row r="329" spans="1:9">
      <c r="A329" s="24">
        <f>A327+1</f>
        <v>46058</v>
      </c>
      <c r="B329" s="23" t="s">
        <v>19</v>
      </c>
      <c r="C329" s="25">
        <v>19915105</v>
      </c>
      <c r="D329" s="25">
        <v>1397547</v>
      </c>
      <c r="E329" s="25">
        <v>110993</v>
      </c>
      <c r="F329" s="25">
        <v>345902</v>
      </c>
      <c r="G329" s="25">
        <v>21769547</v>
      </c>
      <c r="H329" s="26">
        <v>8.9499999999999993</v>
      </c>
      <c r="I329" s="27">
        <v>0</v>
      </c>
    </row>
    <row r="330" spans="1:9">
      <c r="A330" s="24">
        <f>A329+1</f>
        <v>46059</v>
      </c>
      <c r="B330" s="23" t="s">
        <v>13</v>
      </c>
      <c r="C330" s="25">
        <v>20650337</v>
      </c>
      <c r="D330" s="25">
        <v>1446661</v>
      </c>
      <c r="E330" s="25">
        <v>110993</v>
      </c>
      <c r="F330" s="25">
        <v>359872</v>
      </c>
      <c r="G330" s="25">
        <v>22567863</v>
      </c>
      <c r="H330" s="26">
        <v>9.2799999999999994</v>
      </c>
      <c r="I330" s="27">
        <v>0</v>
      </c>
    </row>
    <row r="331" spans="1:9">
      <c r="A331" s="24">
        <f>A329+1</f>
        <v>46059</v>
      </c>
      <c r="B331" s="23" t="s">
        <v>19</v>
      </c>
      <c r="C331" s="25">
        <v>20650337</v>
      </c>
      <c r="D331" s="25">
        <v>1446661</v>
      </c>
      <c r="E331" s="25">
        <v>110993</v>
      </c>
      <c r="F331" s="25">
        <v>359872</v>
      </c>
      <c r="G331" s="25">
        <v>22567863</v>
      </c>
      <c r="H331" s="26">
        <v>9.2799999999999994</v>
      </c>
      <c r="I331" s="27">
        <v>0</v>
      </c>
    </row>
    <row r="332" spans="1:9">
      <c r="A332" s="24">
        <f>A331+1</f>
        <v>46060</v>
      </c>
      <c r="B332" s="23" t="s">
        <v>13</v>
      </c>
      <c r="C332" s="25">
        <v>20650337</v>
      </c>
      <c r="D332" s="25">
        <v>1446661</v>
      </c>
      <c r="E332" s="25">
        <v>110993</v>
      </c>
      <c r="F332" s="25">
        <v>359872</v>
      </c>
      <c r="G332" s="25">
        <v>22567863</v>
      </c>
      <c r="H332" s="26">
        <v>9.2799999999999994</v>
      </c>
      <c r="I332" s="27">
        <v>0</v>
      </c>
    </row>
    <row r="333" spans="1:9">
      <c r="A333" s="24">
        <f>A331+1</f>
        <v>46060</v>
      </c>
      <c r="B333" s="23" t="s">
        <v>19</v>
      </c>
      <c r="C333" s="25">
        <v>20650337</v>
      </c>
      <c r="D333" s="25">
        <v>1446661</v>
      </c>
      <c r="E333" s="25">
        <v>110993</v>
      </c>
      <c r="F333" s="25">
        <v>359872</v>
      </c>
      <c r="G333" s="25">
        <v>22567863</v>
      </c>
      <c r="H333" s="26">
        <v>9.2799999999999994</v>
      </c>
      <c r="I333" s="27">
        <v>0</v>
      </c>
    </row>
    <row r="334" spans="1:9">
      <c r="A334" s="24">
        <f>A333+1</f>
        <v>46061</v>
      </c>
      <c r="B334" s="23" t="s">
        <v>13</v>
      </c>
      <c r="C334" s="25">
        <v>22207569</v>
      </c>
      <c r="D334" s="25">
        <v>1554346</v>
      </c>
      <c r="E334" s="25">
        <v>154974</v>
      </c>
      <c r="F334" s="25">
        <v>391382</v>
      </c>
      <c r="G334" s="25">
        <v>24308271</v>
      </c>
      <c r="H334" s="26">
        <v>10.039999999999999</v>
      </c>
      <c r="I334" s="27">
        <v>0</v>
      </c>
    </row>
    <row r="335" spans="1:9">
      <c r="A335" s="24">
        <f>A333+1</f>
        <v>46061</v>
      </c>
      <c r="B335" s="23" t="s">
        <v>19</v>
      </c>
      <c r="C335" s="25">
        <v>22207569</v>
      </c>
      <c r="D335" s="25">
        <v>1554346</v>
      </c>
      <c r="E335" s="25">
        <v>154974</v>
      </c>
      <c r="F335" s="25">
        <v>391382</v>
      </c>
      <c r="G335" s="25">
        <v>24308271</v>
      </c>
      <c r="H335" s="26">
        <v>10.039999999999999</v>
      </c>
      <c r="I335" s="27">
        <v>0</v>
      </c>
    </row>
    <row r="336" spans="1:9">
      <c r="A336" s="24">
        <f>A335+1</f>
        <v>46062</v>
      </c>
      <c r="B336" s="23" t="s">
        <v>13</v>
      </c>
      <c r="C336" s="25">
        <v>22207569</v>
      </c>
      <c r="D336" s="25">
        <v>1554346</v>
      </c>
      <c r="E336" s="25">
        <v>154974</v>
      </c>
      <c r="F336" s="25">
        <v>391382</v>
      </c>
      <c r="G336" s="25">
        <v>24308271</v>
      </c>
      <c r="H336" s="26">
        <v>10.039999999999999</v>
      </c>
      <c r="I336" s="27">
        <v>0</v>
      </c>
    </row>
    <row r="337" spans="1:9">
      <c r="A337" s="24">
        <f>A335+1</f>
        <v>46062</v>
      </c>
      <c r="B337" s="23" t="s">
        <v>19</v>
      </c>
      <c r="C337" s="25">
        <v>22207569</v>
      </c>
      <c r="D337" s="25">
        <v>1554346</v>
      </c>
      <c r="E337" s="25">
        <v>154974</v>
      </c>
      <c r="F337" s="25">
        <v>391382</v>
      </c>
      <c r="G337" s="25">
        <v>24308271</v>
      </c>
      <c r="H337" s="26">
        <v>10.039999999999999</v>
      </c>
      <c r="I337" s="27">
        <v>0</v>
      </c>
    </row>
    <row r="338" spans="1:9">
      <c r="A338" s="24">
        <f>A337+1</f>
        <v>46063</v>
      </c>
      <c r="B338" s="23" t="s">
        <v>13</v>
      </c>
      <c r="C338" s="25">
        <v>23075561</v>
      </c>
      <c r="D338" s="25">
        <v>1620590</v>
      </c>
      <c r="E338" s="25">
        <v>154974</v>
      </c>
      <c r="F338" s="25">
        <v>403289</v>
      </c>
      <c r="G338" s="25">
        <v>25254414</v>
      </c>
      <c r="H338" s="26">
        <v>10.41</v>
      </c>
      <c r="I338" s="27">
        <v>0</v>
      </c>
    </row>
    <row r="339" spans="1:9">
      <c r="A339" s="24">
        <f>A337+1</f>
        <v>46063</v>
      </c>
      <c r="B339" s="23" t="s">
        <v>19</v>
      </c>
      <c r="C339" s="25">
        <v>23075561</v>
      </c>
      <c r="D339" s="25">
        <v>1620590</v>
      </c>
      <c r="E339" s="25">
        <v>154974</v>
      </c>
      <c r="F339" s="25">
        <v>403289</v>
      </c>
      <c r="G339" s="25">
        <v>25254414</v>
      </c>
      <c r="H339" s="26">
        <v>10.41</v>
      </c>
      <c r="I339" s="27">
        <v>0</v>
      </c>
    </row>
    <row r="340" spans="1:9">
      <c r="A340" s="24">
        <f>A339+1</f>
        <v>46064</v>
      </c>
      <c r="B340" s="23" t="s">
        <v>13</v>
      </c>
      <c r="C340" s="25">
        <v>23278442</v>
      </c>
      <c r="D340" s="25">
        <v>1638483</v>
      </c>
      <c r="E340" s="25">
        <v>154974</v>
      </c>
      <c r="F340" s="25">
        <v>406857</v>
      </c>
      <c r="G340" s="25">
        <v>25478756</v>
      </c>
      <c r="H340" s="26">
        <v>10.51</v>
      </c>
      <c r="I340" s="27">
        <v>0</v>
      </c>
    </row>
    <row r="341" spans="1:9">
      <c r="A341" s="24">
        <f>A339+1</f>
        <v>46064</v>
      </c>
      <c r="B341" s="23" t="s">
        <v>19</v>
      </c>
      <c r="C341" s="25">
        <v>23278442</v>
      </c>
      <c r="D341" s="25">
        <v>1638483</v>
      </c>
      <c r="E341" s="25">
        <v>154974</v>
      </c>
      <c r="F341" s="25">
        <v>406857</v>
      </c>
      <c r="G341" s="25">
        <v>25478756</v>
      </c>
      <c r="H341" s="26">
        <v>10.51</v>
      </c>
      <c r="I341" s="27">
        <v>0</v>
      </c>
    </row>
    <row r="342" spans="1:9">
      <c r="A342" s="24">
        <f>A341+1</f>
        <v>46065</v>
      </c>
      <c r="B342" s="23" t="s">
        <v>13</v>
      </c>
      <c r="C342" s="25">
        <v>23506966</v>
      </c>
      <c r="D342" s="25">
        <v>1662220</v>
      </c>
      <c r="E342" s="25">
        <v>154974</v>
      </c>
      <c r="F342" s="25">
        <v>413122</v>
      </c>
      <c r="G342" s="25">
        <v>25737282</v>
      </c>
      <c r="H342" s="26">
        <v>10.63</v>
      </c>
      <c r="I342" s="27">
        <v>0</v>
      </c>
    </row>
    <row r="343" spans="1:9">
      <c r="A343" s="24">
        <f>A341+1</f>
        <v>46065</v>
      </c>
      <c r="B343" s="23" t="s">
        <v>19</v>
      </c>
      <c r="C343" s="25">
        <v>23506966</v>
      </c>
      <c r="D343" s="25">
        <v>1662220</v>
      </c>
      <c r="E343" s="25">
        <v>154974</v>
      </c>
      <c r="F343" s="25">
        <v>413122</v>
      </c>
      <c r="G343" s="25">
        <v>25737282</v>
      </c>
      <c r="H343" s="26">
        <v>10.63</v>
      </c>
      <c r="I343" s="27">
        <v>0</v>
      </c>
    </row>
    <row r="344" spans="1:9">
      <c r="A344" s="24">
        <f>A343+1</f>
        <v>46066</v>
      </c>
      <c r="B344" s="23" t="s">
        <v>13</v>
      </c>
      <c r="C344" s="25">
        <v>23506966</v>
      </c>
      <c r="D344" s="25">
        <v>1662220</v>
      </c>
      <c r="E344" s="25">
        <v>154974</v>
      </c>
      <c r="F344" s="25">
        <v>413122</v>
      </c>
      <c r="G344" s="25">
        <v>25737282</v>
      </c>
      <c r="H344" s="26">
        <v>10.63</v>
      </c>
      <c r="I344" s="27">
        <v>0</v>
      </c>
    </row>
    <row r="345" spans="1:9">
      <c r="A345" s="24">
        <f>A343+1</f>
        <v>46066</v>
      </c>
      <c r="B345" s="23" t="s">
        <v>19</v>
      </c>
      <c r="C345" s="25">
        <v>23506966</v>
      </c>
      <c r="D345" s="25">
        <v>1662220</v>
      </c>
      <c r="E345" s="25">
        <v>154974</v>
      </c>
      <c r="F345" s="25">
        <v>413122</v>
      </c>
      <c r="G345" s="25">
        <v>25737282</v>
      </c>
      <c r="H345" s="26">
        <v>10.63</v>
      </c>
      <c r="I345" s="27">
        <v>0</v>
      </c>
    </row>
    <row r="346" spans="1:9">
      <c r="A346" s="24">
        <f>A345+1</f>
        <v>46067</v>
      </c>
      <c r="B346" s="23" t="s">
        <v>13</v>
      </c>
      <c r="C346" s="25">
        <v>25237014</v>
      </c>
      <c r="D346" s="25">
        <v>1765313</v>
      </c>
      <c r="E346" s="25">
        <v>154974</v>
      </c>
      <c r="F346" s="25">
        <v>450088</v>
      </c>
      <c r="G346" s="25">
        <v>27607389</v>
      </c>
      <c r="H346" s="26">
        <v>11.43</v>
      </c>
      <c r="I346" s="27">
        <v>0</v>
      </c>
    </row>
    <row r="347" spans="1:9">
      <c r="A347" s="24">
        <f>A345+1</f>
        <v>46067</v>
      </c>
      <c r="B347" s="23" t="s">
        <v>19</v>
      </c>
      <c r="C347" s="25">
        <v>25237014</v>
      </c>
      <c r="D347" s="25">
        <v>1765313</v>
      </c>
      <c r="E347" s="25">
        <v>154974</v>
      </c>
      <c r="F347" s="25">
        <v>450088</v>
      </c>
      <c r="G347" s="25">
        <v>27607389</v>
      </c>
      <c r="H347" s="26">
        <v>11.43</v>
      </c>
      <c r="I347" s="27">
        <v>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7D0E-AE10-4A59-BDCB-50503FEAC48D}">
  <sheetPr>
    <tabColor theme="0" tint="-0.249977111117893"/>
  </sheetPr>
  <dimension ref="A1:I61"/>
  <sheetViews>
    <sheetView showGridLines="0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A62" sqref="A62:XFD62"/>
    </sheetView>
  </sheetViews>
  <sheetFormatPr defaultRowHeight="13"/>
  <cols>
    <col min="1" max="1" width="10.26953125" bestFit="1" customWidth="1"/>
    <col min="2" max="2" width="6.08984375" bestFit="1" customWidth="1"/>
    <col min="3" max="3" width="11.453125" bestFit="1" customWidth="1"/>
    <col min="4" max="4" width="12.36328125" bestFit="1" customWidth="1"/>
    <col min="5" max="5" width="11.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 ht="52">
      <c r="A1" s="28" t="s">
        <v>20</v>
      </c>
      <c r="B1" s="28" t="s">
        <v>12</v>
      </c>
      <c r="C1" s="29" t="s">
        <v>23</v>
      </c>
      <c r="D1" s="29" t="s">
        <v>25</v>
      </c>
      <c r="E1" s="28" t="s">
        <v>15</v>
      </c>
      <c r="F1" s="28" t="s">
        <v>14</v>
      </c>
      <c r="G1" s="28" t="s">
        <v>16</v>
      </c>
      <c r="H1" s="28" t="s">
        <v>17</v>
      </c>
      <c r="I1" s="28" t="s">
        <v>18</v>
      </c>
    </row>
    <row r="2" spans="1:9">
      <c r="A2" s="24">
        <v>45855</v>
      </c>
      <c r="B2" s="23" t="s">
        <v>13</v>
      </c>
      <c r="C2" s="25"/>
      <c r="D2" s="25"/>
      <c r="E2" s="23"/>
      <c r="F2" s="25"/>
      <c r="G2" s="25">
        <v>1921972</v>
      </c>
      <c r="H2" s="26">
        <v>1.55</v>
      </c>
      <c r="I2" s="27">
        <v>0</v>
      </c>
    </row>
    <row r="3" spans="1:9">
      <c r="A3" s="24">
        <v>45855</v>
      </c>
      <c r="B3" s="23" t="s">
        <v>19</v>
      </c>
      <c r="C3" s="25"/>
      <c r="D3" s="25"/>
      <c r="E3" s="23"/>
      <c r="F3" s="25"/>
      <c r="G3" s="25">
        <v>1921972</v>
      </c>
      <c r="H3" s="26">
        <v>1.55</v>
      </c>
      <c r="I3" s="27">
        <v>0</v>
      </c>
    </row>
    <row r="4" spans="1:9">
      <c r="A4" s="24">
        <v>45861</v>
      </c>
      <c r="B4" s="23" t="s">
        <v>13</v>
      </c>
      <c r="C4" s="25"/>
      <c r="D4" s="25"/>
      <c r="E4" s="25"/>
      <c r="F4" s="25"/>
      <c r="G4" s="25">
        <v>13996544</v>
      </c>
      <c r="H4" s="26">
        <v>6.93</v>
      </c>
      <c r="I4" s="27">
        <v>0</v>
      </c>
    </row>
    <row r="5" spans="1:9">
      <c r="A5" s="24">
        <v>45861</v>
      </c>
      <c r="B5" s="23" t="s">
        <v>19</v>
      </c>
      <c r="C5" s="25"/>
      <c r="D5" s="25"/>
      <c r="E5" s="25"/>
      <c r="F5" s="25"/>
      <c r="G5" s="25">
        <v>13996544</v>
      </c>
      <c r="H5" s="26">
        <v>6.93</v>
      </c>
      <c r="I5" s="27">
        <v>0</v>
      </c>
    </row>
    <row r="6" spans="1:9">
      <c r="A6" s="24">
        <v>45862</v>
      </c>
      <c r="B6" s="23" t="s">
        <v>13</v>
      </c>
      <c r="C6" s="25"/>
      <c r="D6" s="25"/>
      <c r="E6" s="25"/>
      <c r="F6" s="25"/>
      <c r="G6" s="25">
        <v>29385252</v>
      </c>
      <c r="H6" s="26">
        <v>12.32</v>
      </c>
      <c r="I6" s="27">
        <v>0</v>
      </c>
    </row>
    <row r="7" spans="1:9">
      <c r="A7" s="24">
        <v>45862</v>
      </c>
      <c r="B7" s="23" t="s">
        <v>19</v>
      </c>
      <c r="C7" s="25"/>
      <c r="D7" s="25"/>
      <c r="E7" s="25"/>
      <c r="F7" s="25"/>
      <c r="G7" s="25">
        <v>29385252</v>
      </c>
      <c r="H7" s="26">
        <v>12.32</v>
      </c>
      <c r="I7" s="27">
        <v>0</v>
      </c>
    </row>
    <row r="8" spans="1:9">
      <c r="A8" s="24">
        <v>45866</v>
      </c>
      <c r="B8" s="23" t="s">
        <v>13</v>
      </c>
      <c r="C8" s="25"/>
      <c r="D8" s="25"/>
      <c r="E8" s="25"/>
      <c r="F8" s="25"/>
      <c r="G8" s="25">
        <v>91482791</v>
      </c>
      <c r="H8" s="26">
        <v>33.64</v>
      </c>
      <c r="I8" s="27">
        <v>0</v>
      </c>
    </row>
    <row r="9" spans="1:9">
      <c r="A9" s="24">
        <v>45866</v>
      </c>
      <c r="B9" s="23" t="s">
        <v>19</v>
      </c>
      <c r="C9" s="25"/>
      <c r="D9" s="25"/>
      <c r="E9" s="25"/>
      <c r="F9" s="25"/>
      <c r="G9" s="25">
        <v>91482791</v>
      </c>
      <c r="H9" s="26">
        <v>33.64</v>
      </c>
      <c r="I9" s="27">
        <v>0</v>
      </c>
    </row>
    <row r="10" spans="1:9">
      <c r="A10" s="24">
        <v>45867</v>
      </c>
      <c r="B10" s="23" t="s">
        <v>13</v>
      </c>
      <c r="C10" s="25"/>
      <c r="D10" s="25"/>
      <c r="E10" s="25"/>
      <c r="F10" s="25"/>
      <c r="G10" s="25">
        <v>98395744</v>
      </c>
      <c r="H10" s="26">
        <v>36.450000000000003</v>
      </c>
      <c r="I10" s="27">
        <v>0</v>
      </c>
    </row>
    <row r="11" spans="1:9">
      <c r="A11" s="24">
        <v>45867</v>
      </c>
      <c r="B11" s="23" t="s">
        <v>19</v>
      </c>
      <c r="C11" s="25"/>
      <c r="D11" s="25"/>
      <c r="E11" s="25"/>
      <c r="F11" s="25"/>
      <c r="G11" s="25">
        <v>98395744</v>
      </c>
      <c r="H11" s="26">
        <v>36.450000000000003</v>
      </c>
      <c r="I11" s="27">
        <v>0</v>
      </c>
    </row>
    <row r="12" spans="1:9">
      <c r="A12" s="24">
        <v>45871</v>
      </c>
      <c r="B12" s="23" t="s">
        <v>13</v>
      </c>
      <c r="C12" s="25">
        <v>8020430</v>
      </c>
      <c r="D12" s="25">
        <v>1807495</v>
      </c>
      <c r="E12" s="25">
        <v>134957960</v>
      </c>
      <c r="F12" s="25">
        <v>1563830</v>
      </c>
      <c r="G12" s="25">
        <v>146349715</v>
      </c>
      <c r="H12" s="26">
        <v>51.82</v>
      </c>
      <c r="I12" s="27">
        <v>0</v>
      </c>
    </row>
    <row r="13" spans="1:9">
      <c r="A13" s="24">
        <v>45871</v>
      </c>
      <c r="B13" s="23" t="s">
        <v>19</v>
      </c>
      <c r="C13" s="25">
        <v>8020430</v>
      </c>
      <c r="D13" s="25">
        <v>1807495</v>
      </c>
      <c r="E13" s="25">
        <v>134957960</v>
      </c>
      <c r="F13" s="25">
        <v>1563830</v>
      </c>
      <c r="G13" s="25">
        <v>146349715</v>
      </c>
      <c r="H13" s="26">
        <v>51.82</v>
      </c>
      <c r="I13" s="27">
        <v>0</v>
      </c>
    </row>
    <row r="14" spans="1:9">
      <c r="A14" s="24">
        <v>45872</v>
      </c>
      <c r="B14" s="23" t="s">
        <v>13</v>
      </c>
      <c r="C14" s="25">
        <v>8028325</v>
      </c>
      <c r="D14" s="25">
        <v>1807495</v>
      </c>
      <c r="E14" s="25">
        <v>134991270</v>
      </c>
      <c r="F14" s="25">
        <v>1564996</v>
      </c>
      <c r="G14" s="25">
        <v>146392086</v>
      </c>
      <c r="H14" s="26">
        <v>51.84</v>
      </c>
      <c r="I14" s="27">
        <v>0</v>
      </c>
    </row>
    <row r="15" spans="1:9">
      <c r="A15" s="24">
        <v>45872</v>
      </c>
      <c r="B15" s="23" t="s">
        <v>19</v>
      </c>
      <c r="C15" s="25">
        <v>8028325</v>
      </c>
      <c r="D15" s="25">
        <v>1807495</v>
      </c>
      <c r="E15" s="25">
        <v>134991270</v>
      </c>
      <c r="F15" s="25">
        <v>1564996</v>
      </c>
      <c r="G15" s="25">
        <v>146392086</v>
      </c>
      <c r="H15" s="26">
        <v>51.84</v>
      </c>
      <c r="I15" s="27">
        <v>0</v>
      </c>
    </row>
    <row r="16" spans="1:9">
      <c r="A16" s="24">
        <v>45877</v>
      </c>
      <c r="B16" s="23" t="s">
        <v>13</v>
      </c>
      <c r="C16" s="25">
        <v>8495325</v>
      </c>
      <c r="D16" s="25">
        <v>1807495</v>
      </c>
      <c r="E16" s="25">
        <v>144871072</v>
      </c>
      <c r="F16" s="25">
        <v>1645786</v>
      </c>
      <c r="G16" s="25">
        <v>156819678</v>
      </c>
      <c r="H16" s="26">
        <v>55.1</v>
      </c>
      <c r="I16" s="27">
        <v>0</v>
      </c>
    </row>
    <row r="17" spans="1:9">
      <c r="A17" s="24">
        <v>45877</v>
      </c>
      <c r="B17" s="23" t="s">
        <v>19</v>
      </c>
      <c r="C17" s="25">
        <v>8495325</v>
      </c>
      <c r="D17" s="25">
        <v>1807495</v>
      </c>
      <c r="E17" s="25">
        <v>144871072</v>
      </c>
      <c r="F17" s="25">
        <v>1645786</v>
      </c>
      <c r="G17" s="25">
        <v>156819678</v>
      </c>
      <c r="H17" s="26">
        <v>55.1</v>
      </c>
      <c r="I17" s="27">
        <v>0</v>
      </c>
    </row>
    <row r="18" spans="1:9">
      <c r="A18" s="24">
        <v>45878</v>
      </c>
      <c r="B18" s="23" t="s">
        <v>13</v>
      </c>
      <c r="C18" s="25">
        <v>8714800</v>
      </c>
      <c r="D18" s="25">
        <v>1807495</v>
      </c>
      <c r="E18" s="25">
        <v>146452644</v>
      </c>
      <c r="F18" s="25">
        <v>1668835</v>
      </c>
      <c r="G18" s="25">
        <v>158643774</v>
      </c>
      <c r="H18" s="26">
        <v>55.81</v>
      </c>
      <c r="I18" s="27">
        <v>0</v>
      </c>
    </row>
    <row r="19" spans="1:9">
      <c r="A19" s="24">
        <v>45878</v>
      </c>
      <c r="B19" s="23" t="s">
        <v>19</v>
      </c>
      <c r="C19" s="25">
        <v>8714800</v>
      </c>
      <c r="D19" s="25">
        <v>1807495</v>
      </c>
      <c r="E19" s="25">
        <v>146452644</v>
      </c>
      <c r="F19" s="25">
        <v>1668835</v>
      </c>
      <c r="G19" s="25">
        <v>158643774</v>
      </c>
      <c r="H19" s="26">
        <v>55.81</v>
      </c>
      <c r="I19" s="27">
        <v>0</v>
      </c>
    </row>
    <row r="20" spans="1:9">
      <c r="A20" s="24">
        <v>45879</v>
      </c>
      <c r="B20" s="23" t="s">
        <v>13</v>
      </c>
      <c r="C20" s="25">
        <v>9484446</v>
      </c>
      <c r="D20" s="25">
        <v>1811005</v>
      </c>
      <c r="E20" s="25">
        <v>157745556</v>
      </c>
      <c r="F20" s="25">
        <v>1820347</v>
      </c>
      <c r="G20" s="25">
        <v>170861354</v>
      </c>
      <c r="H20" s="26">
        <v>60.01</v>
      </c>
      <c r="I20" s="27">
        <v>0</v>
      </c>
    </row>
    <row r="21" spans="1:9">
      <c r="A21" s="24">
        <v>45879</v>
      </c>
      <c r="B21" s="23" t="s">
        <v>19</v>
      </c>
      <c r="C21" s="25">
        <v>9484446</v>
      </c>
      <c r="D21" s="25">
        <v>1811005</v>
      </c>
      <c r="E21" s="25">
        <v>157745556</v>
      </c>
      <c r="F21" s="25">
        <v>1820347</v>
      </c>
      <c r="G21" s="25">
        <v>170861354</v>
      </c>
      <c r="H21" s="26">
        <v>60.01</v>
      </c>
      <c r="I21" s="27">
        <v>0</v>
      </c>
    </row>
    <row r="22" spans="1:9">
      <c r="A22" s="24">
        <v>45880</v>
      </c>
      <c r="B22" s="23" t="s">
        <v>13</v>
      </c>
      <c r="C22" s="25">
        <v>9755441</v>
      </c>
      <c r="D22" s="25">
        <v>1811005</v>
      </c>
      <c r="E22" s="25">
        <v>160356645</v>
      </c>
      <c r="F22" s="25">
        <v>1877182</v>
      </c>
      <c r="G22" s="25">
        <v>173800273</v>
      </c>
      <c r="H22" s="26">
        <v>61.16</v>
      </c>
      <c r="I22" s="27">
        <v>0</v>
      </c>
    </row>
    <row r="23" spans="1:9">
      <c r="A23" s="24">
        <v>45880</v>
      </c>
      <c r="B23" s="23" t="s">
        <v>19</v>
      </c>
      <c r="C23" s="25">
        <v>9755441</v>
      </c>
      <c r="D23" s="25">
        <v>1811005</v>
      </c>
      <c r="E23" s="25">
        <v>160356645</v>
      </c>
      <c r="F23" s="25">
        <v>1877182</v>
      </c>
      <c r="G23" s="25">
        <v>173800273</v>
      </c>
      <c r="H23" s="26">
        <v>61.16</v>
      </c>
      <c r="I23" s="27">
        <v>0</v>
      </c>
    </row>
    <row r="24" spans="1:9">
      <c r="A24" s="24">
        <v>45881</v>
      </c>
      <c r="B24" s="23" t="s">
        <v>13</v>
      </c>
      <c r="C24" s="25">
        <v>9889211</v>
      </c>
      <c r="D24" s="25">
        <v>1811005</v>
      </c>
      <c r="E24" s="25">
        <v>161140169</v>
      </c>
      <c r="F24" s="25">
        <v>1913741</v>
      </c>
      <c r="G24" s="25">
        <v>174754126</v>
      </c>
      <c r="H24" s="26">
        <v>61.63</v>
      </c>
      <c r="I24" s="27">
        <v>0</v>
      </c>
    </row>
    <row r="25" spans="1:9">
      <c r="A25" s="24">
        <v>45881</v>
      </c>
      <c r="B25" s="23" t="s">
        <v>19</v>
      </c>
      <c r="C25" s="25">
        <v>9889211</v>
      </c>
      <c r="D25" s="25">
        <v>1811005</v>
      </c>
      <c r="E25" s="25">
        <v>161140169</v>
      </c>
      <c r="F25" s="25">
        <v>1913741</v>
      </c>
      <c r="G25" s="25">
        <v>174754126</v>
      </c>
      <c r="H25" s="26">
        <v>61.63</v>
      </c>
      <c r="I25" s="27">
        <v>0</v>
      </c>
    </row>
    <row r="26" spans="1:9">
      <c r="A26" s="24">
        <v>45882</v>
      </c>
      <c r="B26" s="23" t="s">
        <v>13</v>
      </c>
      <c r="C26" s="25">
        <v>10032113</v>
      </c>
      <c r="D26" s="25">
        <v>1811005</v>
      </c>
      <c r="E26" s="25">
        <v>161820533</v>
      </c>
      <c r="F26" s="25">
        <v>1936568</v>
      </c>
      <c r="G26" s="25">
        <v>175600219</v>
      </c>
      <c r="H26" s="26">
        <v>62.04</v>
      </c>
      <c r="I26" s="27">
        <v>0</v>
      </c>
    </row>
    <row r="27" spans="1:9">
      <c r="A27" s="24">
        <v>45882</v>
      </c>
      <c r="B27" s="23" t="s">
        <v>19</v>
      </c>
      <c r="C27" s="25">
        <v>10032113</v>
      </c>
      <c r="D27" s="25">
        <v>1811005</v>
      </c>
      <c r="E27" s="25">
        <v>161820533</v>
      </c>
      <c r="F27" s="25">
        <v>1936568</v>
      </c>
      <c r="G27" s="25">
        <v>175600219</v>
      </c>
      <c r="H27" s="26">
        <v>62.04</v>
      </c>
      <c r="I27" s="27">
        <v>0</v>
      </c>
    </row>
    <row r="28" spans="1:9">
      <c r="A28" s="24">
        <v>45883</v>
      </c>
      <c r="B28" s="23" t="s">
        <v>13</v>
      </c>
      <c r="C28" s="25">
        <v>10104123</v>
      </c>
      <c r="D28" s="25">
        <v>1811005</v>
      </c>
      <c r="E28" s="25">
        <v>163793917</v>
      </c>
      <c r="F28" s="25">
        <v>1949927</v>
      </c>
      <c r="G28" s="25">
        <v>177658972</v>
      </c>
      <c r="H28" s="26">
        <v>67.540000000000006</v>
      </c>
      <c r="I28" s="27">
        <v>0</v>
      </c>
    </row>
    <row r="29" spans="1:9">
      <c r="A29" s="24">
        <v>45883</v>
      </c>
      <c r="B29" s="23" t="s">
        <v>19</v>
      </c>
      <c r="C29" s="25">
        <v>10104123</v>
      </c>
      <c r="D29" s="25">
        <v>1811005</v>
      </c>
      <c r="E29" s="25">
        <v>163793917</v>
      </c>
      <c r="F29" s="25">
        <v>1949927</v>
      </c>
      <c r="G29" s="25">
        <v>177658972</v>
      </c>
      <c r="H29" s="26">
        <v>67.540000000000006</v>
      </c>
      <c r="I29" s="27">
        <v>0</v>
      </c>
    </row>
    <row r="30" spans="1:9">
      <c r="A30" s="24">
        <v>45884</v>
      </c>
      <c r="B30" s="23" t="s">
        <v>13</v>
      </c>
      <c r="C30" s="25">
        <v>10389708</v>
      </c>
      <c r="D30" s="25">
        <v>1811005</v>
      </c>
      <c r="E30" s="25">
        <v>168063329</v>
      </c>
      <c r="F30" s="25">
        <v>1996079</v>
      </c>
      <c r="G30" s="25">
        <v>182260121</v>
      </c>
      <c r="H30" s="26">
        <v>69.239999999999995</v>
      </c>
      <c r="I30" s="27">
        <v>0</v>
      </c>
    </row>
    <row r="31" spans="1:9">
      <c r="A31" s="24">
        <v>45884</v>
      </c>
      <c r="B31" s="23" t="s">
        <v>19</v>
      </c>
      <c r="C31" s="25">
        <v>10389708</v>
      </c>
      <c r="D31" s="25">
        <v>1811005</v>
      </c>
      <c r="E31" s="25">
        <v>168063329</v>
      </c>
      <c r="F31" s="25">
        <v>1996079</v>
      </c>
      <c r="G31" s="25">
        <v>182260121</v>
      </c>
      <c r="H31" s="26">
        <v>69.239999999999995</v>
      </c>
      <c r="I31" s="27">
        <v>0</v>
      </c>
    </row>
    <row r="32" spans="1:9">
      <c r="A32" s="24">
        <v>45885</v>
      </c>
      <c r="B32" s="23" t="s">
        <v>13</v>
      </c>
      <c r="C32" s="25">
        <v>10454053</v>
      </c>
      <c r="D32" s="25">
        <v>1811005</v>
      </c>
      <c r="E32" s="25">
        <v>168659772</v>
      </c>
      <c r="F32" s="25">
        <v>2008750</v>
      </c>
      <c r="G32" s="25">
        <v>182933580</v>
      </c>
      <c r="H32" s="26">
        <v>69.55</v>
      </c>
      <c r="I32" s="27">
        <v>0</v>
      </c>
    </row>
    <row r="33" spans="1:9">
      <c r="A33" s="24">
        <v>45885</v>
      </c>
      <c r="B33" s="23" t="s">
        <v>19</v>
      </c>
      <c r="C33" s="25">
        <v>10454053</v>
      </c>
      <c r="D33" s="25">
        <v>1811005</v>
      </c>
      <c r="E33" s="25">
        <v>168659772</v>
      </c>
      <c r="F33" s="25">
        <v>2008750</v>
      </c>
      <c r="G33" s="25">
        <v>182933580</v>
      </c>
      <c r="H33" s="26">
        <v>69.55</v>
      </c>
      <c r="I33" s="27">
        <v>0</v>
      </c>
    </row>
    <row r="34" spans="1:9">
      <c r="A34" s="24">
        <v>45886</v>
      </c>
      <c r="B34" s="23" t="s">
        <v>13</v>
      </c>
      <c r="C34" s="25">
        <v>10479183</v>
      </c>
      <c r="D34" s="25">
        <v>1811005</v>
      </c>
      <c r="E34" s="25">
        <v>168824043</v>
      </c>
      <c r="F34" s="25">
        <v>2011968</v>
      </c>
      <c r="G34" s="25">
        <v>183126199</v>
      </c>
      <c r="H34" s="26">
        <v>69.64</v>
      </c>
      <c r="I34" s="27">
        <v>0</v>
      </c>
    </row>
    <row r="35" spans="1:9">
      <c r="A35" s="24">
        <v>45886</v>
      </c>
      <c r="B35" s="23" t="s">
        <v>19</v>
      </c>
      <c r="C35" s="25">
        <v>10479183</v>
      </c>
      <c r="D35" s="25">
        <v>1811005</v>
      </c>
      <c r="E35" s="25">
        <v>168824043</v>
      </c>
      <c r="F35" s="25">
        <v>2011968</v>
      </c>
      <c r="G35" s="25">
        <v>183126199</v>
      </c>
      <c r="H35" s="26">
        <v>69.64</v>
      </c>
      <c r="I35" s="27">
        <v>0</v>
      </c>
    </row>
    <row r="36" spans="1:9">
      <c r="A36" s="24">
        <v>45887</v>
      </c>
      <c r="B36" s="23" t="s">
        <v>13</v>
      </c>
      <c r="C36" s="25">
        <v>6184</v>
      </c>
      <c r="D36" s="25">
        <v>2899</v>
      </c>
      <c r="E36" s="25">
        <v>46199</v>
      </c>
      <c r="F36" s="25">
        <v>2695</v>
      </c>
      <c r="G36" s="25">
        <v>57977</v>
      </c>
      <c r="H36" s="26">
        <v>0.04</v>
      </c>
      <c r="I36" s="27">
        <v>0</v>
      </c>
    </row>
    <row r="37" spans="1:9">
      <c r="A37" s="24">
        <v>45887</v>
      </c>
      <c r="B37" s="23" t="s">
        <v>19</v>
      </c>
      <c r="C37" s="25">
        <v>6184</v>
      </c>
      <c r="D37" s="25">
        <v>2899</v>
      </c>
      <c r="E37" s="25">
        <v>46199</v>
      </c>
      <c r="F37" s="25">
        <v>2695</v>
      </c>
      <c r="G37" s="25">
        <v>57977</v>
      </c>
      <c r="H37" s="26">
        <v>0.04</v>
      </c>
      <c r="I37" s="27">
        <v>0</v>
      </c>
    </row>
    <row r="38" spans="1:9">
      <c r="A38" s="24">
        <v>45888</v>
      </c>
      <c r="B38" s="23" t="s">
        <v>13</v>
      </c>
      <c r="C38" s="25">
        <v>51603</v>
      </c>
      <c r="D38" s="25">
        <v>2899</v>
      </c>
      <c r="E38" s="25">
        <v>684146</v>
      </c>
      <c r="F38" s="25">
        <v>15265</v>
      </c>
      <c r="G38" s="25">
        <v>753913</v>
      </c>
      <c r="H38" s="26">
        <v>0.33</v>
      </c>
      <c r="I38" s="27">
        <v>0</v>
      </c>
    </row>
    <row r="39" spans="1:9">
      <c r="A39" s="24">
        <v>45888</v>
      </c>
      <c r="B39" s="23" t="s">
        <v>19</v>
      </c>
      <c r="C39" s="25">
        <v>51603</v>
      </c>
      <c r="D39" s="25">
        <v>2899</v>
      </c>
      <c r="E39" s="25">
        <v>684146</v>
      </c>
      <c r="F39" s="25">
        <v>15265</v>
      </c>
      <c r="G39" s="25">
        <v>753913</v>
      </c>
      <c r="H39" s="26">
        <v>0.33</v>
      </c>
      <c r="I39" s="27">
        <v>0</v>
      </c>
    </row>
    <row r="40" spans="1:9">
      <c r="A40" s="24">
        <v>45889</v>
      </c>
      <c r="B40" s="23" t="s">
        <v>13</v>
      </c>
      <c r="C40" s="25">
        <v>170092</v>
      </c>
      <c r="D40" s="25">
        <v>2899</v>
      </c>
      <c r="E40" s="25">
        <v>1595646</v>
      </c>
      <c r="F40" s="25">
        <v>36213</v>
      </c>
      <c r="G40" s="25">
        <v>1804850</v>
      </c>
      <c r="H40" s="26">
        <v>0.83</v>
      </c>
      <c r="I40" s="27">
        <v>0</v>
      </c>
    </row>
    <row r="41" spans="1:9">
      <c r="A41" s="24">
        <v>45889</v>
      </c>
      <c r="B41" s="23" t="s">
        <v>19</v>
      </c>
      <c r="C41" s="25">
        <v>170092</v>
      </c>
      <c r="D41" s="25">
        <v>2899</v>
      </c>
      <c r="E41" s="25">
        <v>1595646</v>
      </c>
      <c r="F41" s="25">
        <v>36213</v>
      </c>
      <c r="G41" s="25">
        <v>1804850</v>
      </c>
      <c r="H41" s="26">
        <v>0.83</v>
      </c>
      <c r="I41" s="27">
        <v>0</v>
      </c>
    </row>
    <row r="42" spans="1:9">
      <c r="A42" s="24">
        <v>45890</v>
      </c>
      <c r="B42" s="23" t="s">
        <v>13</v>
      </c>
      <c r="C42" s="25">
        <v>449518</v>
      </c>
      <c r="D42" s="25">
        <v>2899</v>
      </c>
      <c r="E42" s="25">
        <v>5649867</v>
      </c>
      <c r="F42" s="25">
        <v>80328</v>
      </c>
      <c r="G42" s="25">
        <v>6182612</v>
      </c>
      <c r="H42" s="26">
        <v>2.46</v>
      </c>
      <c r="I42" s="27">
        <v>0</v>
      </c>
    </row>
    <row r="43" spans="1:9">
      <c r="A43" s="24">
        <v>45890</v>
      </c>
      <c r="B43" s="23" t="s">
        <v>19</v>
      </c>
      <c r="C43" s="25">
        <v>449518</v>
      </c>
      <c r="D43" s="25">
        <v>2899</v>
      </c>
      <c r="E43" s="25">
        <v>5649867</v>
      </c>
      <c r="F43" s="25">
        <v>80328</v>
      </c>
      <c r="G43" s="25">
        <v>6182612</v>
      </c>
      <c r="H43" s="26">
        <v>2.46</v>
      </c>
      <c r="I43" s="27">
        <v>0</v>
      </c>
    </row>
    <row r="44" spans="1:9">
      <c r="A44" s="24">
        <v>45891</v>
      </c>
      <c r="B44" s="23" t="s">
        <v>13</v>
      </c>
      <c r="C44" s="25">
        <v>506064</v>
      </c>
      <c r="D44" s="25">
        <v>2899</v>
      </c>
      <c r="E44" s="25">
        <v>5946943</v>
      </c>
      <c r="F44" s="25">
        <v>88544</v>
      </c>
      <c r="G44" s="25">
        <v>6544450</v>
      </c>
      <c r="H44" s="26">
        <v>2.65</v>
      </c>
      <c r="I44" s="27">
        <v>0</v>
      </c>
    </row>
    <row r="45" spans="1:9">
      <c r="A45" s="24">
        <v>45891</v>
      </c>
      <c r="B45" s="23" t="s">
        <v>19</v>
      </c>
      <c r="C45" s="25">
        <v>506064</v>
      </c>
      <c r="D45" s="25">
        <v>2899</v>
      </c>
      <c r="E45" s="25">
        <v>5946943</v>
      </c>
      <c r="F45" s="25">
        <v>88544</v>
      </c>
      <c r="G45" s="25">
        <v>6544450</v>
      </c>
      <c r="H45" s="26">
        <v>2.65</v>
      </c>
      <c r="I45" s="27">
        <v>0</v>
      </c>
    </row>
    <row r="46" spans="1:9">
      <c r="A46" s="24">
        <v>45892</v>
      </c>
      <c r="B46" s="23" t="s">
        <v>13</v>
      </c>
      <c r="C46" s="25">
        <v>522745</v>
      </c>
      <c r="D46" s="25">
        <v>8963</v>
      </c>
      <c r="E46" s="25">
        <v>6196705</v>
      </c>
      <c r="F46" s="25">
        <v>94996</v>
      </c>
      <c r="G46" s="25">
        <v>6823409</v>
      </c>
      <c r="H46" s="26">
        <v>2.78</v>
      </c>
      <c r="I46" s="27">
        <v>0</v>
      </c>
    </row>
    <row r="47" spans="1:9">
      <c r="A47" s="24">
        <v>45892</v>
      </c>
      <c r="B47" s="23" t="s">
        <v>19</v>
      </c>
      <c r="C47" s="25">
        <v>522745</v>
      </c>
      <c r="D47" s="25">
        <v>8963</v>
      </c>
      <c r="E47" s="25">
        <v>6196705</v>
      </c>
      <c r="F47" s="25">
        <v>94996</v>
      </c>
      <c r="G47" s="25">
        <v>6823409</v>
      </c>
      <c r="H47" s="26">
        <v>2.78</v>
      </c>
      <c r="I47" s="27">
        <v>0</v>
      </c>
    </row>
    <row r="48" spans="1:9">
      <c r="A48" s="24">
        <v>45893</v>
      </c>
      <c r="B48" s="23" t="s">
        <v>13</v>
      </c>
      <c r="C48" s="25">
        <v>566990</v>
      </c>
      <c r="D48" s="25">
        <v>8963</v>
      </c>
      <c r="E48" s="25">
        <v>6593605</v>
      </c>
      <c r="F48" s="25">
        <v>99750</v>
      </c>
      <c r="G48" s="25">
        <v>7269308</v>
      </c>
      <c r="H48" s="26">
        <v>2.97</v>
      </c>
      <c r="I48" s="27">
        <v>0</v>
      </c>
    </row>
    <row r="49" spans="1:9">
      <c r="A49" s="24">
        <v>45893</v>
      </c>
      <c r="B49" s="23" t="s">
        <v>19</v>
      </c>
      <c r="C49" s="25">
        <v>566990</v>
      </c>
      <c r="D49" s="25">
        <v>8963</v>
      </c>
      <c r="E49" s="25">
        <v>6593605</v>
      </c>
      <c r="F49" s="25">
        <v>99750</v>
      </c>
      <c r="G49" s="25">
        <v>7269308</v>
      </c>
      <c r="H49" s="26">
        <v>2.97</v>
      </c>
      <c r="I49" s="27">
        <v>0</v>
      </c>
    </row>
    <row r="50" spans="1:9">
      <c r="A50" s="24">
        <v>45894</v>
      </c>
      <c r="B50" s="23" t="s">
        <v>13</v>
      </c>
      <c r="C50" s="25">
        <v>774809</v>
      </c>
      <c r="D50" s="25">
        <v>8963</v>
      </c>
      <c r="E50" s="25">
        <v>9552730</v>
      </c>
      <c r="F50" s="25">
        <v>113211</v>
      </c>
      <c r="G50" s="25">
        <v>10449713</v>
      </c>
      <c r="H50" s="26">
        <v>4.05</v>
      </c>
      <c r="I50" s="27">
        <v>0</v>
      </c>
    </row>
    <row r="51" spans="1:9">
      <c r="A51" s="24">
        <v>45894</v>
      </c>
      <c r="B51" s="23" t="s">
        <v>19</v>
      </c>
      <c r="C51" s="25">
        <v>774809</v>
      </c>
      <c r="D51" s="25">
        <v>8963</v>
      </c>
      <c r="E51" s="25">
        <v>9552730</v>
      </c>
      <c r="F51" s="25">
        <v>113211</v>
      </c>
      <c r="G51" s="25">
        <v>10449713</v>
      </c>
      <c r="H51" s="26">
        <v>4.05</v>
      </c>
      <c r="I51" s="27">
        <v>0</v>
      </c>
    </row>
    <row r="52" spans="1:9">
      <c r="A52" s="24">
        <v>45895</v>
      </c>
      <c r="B52" s="23" t="s">
        <v>13</v>
      </c>
      <c r="C52" s="25">
        <v>801899</v>
      </c>
      <c r="D52" s="25">
        <v>8963</v>
      </c>
      <c r="E52" s="25">
        <v>9968877</v>
      </c>
      <c r="F52" s="25">
        <v>121692</v>
      </c>
      <c r="G52" s="25">
        <v>10901431</v>
      </c>
      <c r="H52" s="26">
        <v>4.24</v>
      </c>
      <c r="I52" s="27">
        <v>0</v>
      </c>
    </row>
    <row r="53" spans="1:9">
      <c r="A53" s="24">
        <v>45895</v>
      </c>
      <c r="B53" s="23" t="s">
        <v>19</v>
      </c>
      <c r="C53" s="25">
        <v>801899</v>
      </c>
      <c r="D53" s="25">
        <v>8963</v>
      </c>
      <c r="E53" s="25">
        <v>9968877</v>
      </c>
      <c r="F53" s="25">
        <v>121692</v>
      </c>
      <c r="G53" s="25">
        <v>10901431</v>
      </c>
      <c r="H53" s="26">
        <v>4.24</v>
      </c>
      <c r="I53" s="27">
        <v>0</v>
      </c>
    </row>
    <row r="54" spans="1:9">
      <c r="A54" s="24">
        <v>45896</v>
      </c>
      <c r="B54" s="23" t="s">
        <v>13</v>
      </c>
      <c r="C54" s="25">
        <v>871626</v>
      </c>
      <c r="D54" s="25">
        <v>8963</v>
      </c>
      <c r="E54" s="25">
        <v>10687135</v>
      </c>
      <c r="F54" s="25">
        <v>131131</v>
      </c>
      <c r="G54" s="25">
        <v>11698855</v>
      </c>
      <c r="H54" s="26">
        <v>4.5599999999999996</v>
      </c>
      <c r="I54" s="27">
        <v>0</v>
      </c>
    </row>
    <row r="55" spans="1:9">
      <c r="A55" s="24">
        <v>45896</v>
      </c>
      <c r="B55" s="23" t="s">
        <v>19</v>
      </c>
      <c r="C55" s="25">
        <v>871626</v>
      </c>
      <c r="D55" s="25">
        <v>8963</v>
      </c>
      <c r="E55" s="25">
        <v>10687135</v>
      </c>
      <c r="F55" s="25">
        <v>131131</v>
      </c>
      <c r="G55" s="25">
        <v>11698855</v>
      </c>
      <c r="H55" s="26">
        <v>4.5599999999999996</v>
      </c>
      <c r="I55" s="27">
        <v>0</v>
      </c>
    </row>
    <row r="56" spans="1:9">
      <c r="A56" s="24">
        <v>45897</v>
      </c>
      <c r="B56" s="23" t="s">
        <v>13</v>
      </c>
      <c r="C56" s="25">
        <v>966403</v>
      </c>
      <c r="D56" s="25">
        <v>8963</v>
      </c>
      <c r="E56" s="25">
        <v>12382447</v>
      </c>
      <c r="F56" s="25">
        <v>145820</v>
      </c>
      <c r="G56" s="25">
        <v>13503633</v>
      </c>
      <c r="H56" s="26">
        <v>5.19</v>
      </c>
      <c r="I56" s="27">
        <v>0</v>
      </c>
    </row>
    <row r="57" spans="1:9">
      <c r="A57" s="24">
        <v>45897</v>
      </c>
      <c r="B57" s="23" t="s">
        <v>19</v>
      </c>
      <c r="C57" s="25">
        <v>966403</v>
      </c>
      <c r="D57" s="25">
        <v>8963</v>
      </c>
      <c r="E57" s="25">
        <v>12382447</v>
      </c>
      <c r="F57" s="25">
        <v>145820</v>
      </c>
      <c r="G57" s="25">
        <v>13503633</v>
      </c>
      <c r="H57" s="26">
        <v>5.19</v>
      </c>
      <c r="I57" s="27">
        <v>0</v>
      </c>
    </row>
    <row r="58" spans="1:9">
      <c r="A58" s="24">
        <v>45898</v>
      </c>
      <c r="B58" s="23" t="s">
        <v>13</v>
      </c>
      <c r="C58" s="25">
        <v>1045393</v>
      </c>
      <c r="D58" s="25">
        <v>8963</v>
      </c>
      <c r="E58" s="25">
        <v>13555464</v>
      </c>
      <c r="F58" s="25">
        <v>164882</v>
      </c>
      <c r="G58" s="25">
        <v>14774702</v>
      </c>
      <c r="H58" s="26">
        <v>5.7</v>
      </c>
      <c r="I58" s="27">
        <v>0</v>
      </c>
    </row>
    <row r="59" spans="1:9">
      <c r="A59" s="24">
        <v>45898</v>
      </c>
      <c r="B59" s="23" t="s">
        <v>19</v>
      </c>
      <c r="C59" s="25">
        <v>1045393</v>
      </c>
      <c r="D59" s="25">
        <v>8963</v>
      </c>
      <c r="E59" s="25">
        <v>13555464</v>
      </c>
      <c r="F59" s="25">
        <v>164882</v>
      </c>
      <c r="G59" s="25">
        <v>14774702</v>
      </c>
      <c r="H59" s="26">
        <v>5.7</v>
      </c>
      <c r="I59" s="27">
        <v>0</v>
      </c>
    </row>
    <row r="60" spans="1:9">
      <c r="A60" s="24">
        <v>45899</v>
      </c>
      <c r="B60" s="23" t="s">
        <v>13</v>
      </c>
      <c r="C60" s="25">
        <v>1083480</v>
      </c>
      <c r="D60" s="25">
        <v>8963</v>
      </c>
      <c r="E60" s="25">
        <v>13826819</v>
      </c>
      <c r="F60" s="25">
        <v>171482</v>
      </c>
      <c r="G60" s="25">
        <v>15090744</v>
      </c>
      <c r="H60" s="26">
        <v>5.85</v>
      </c>
      <c r="I60" s="27">
        <v>0</v>
      </c>
    </row>
    <row r="61" spans="1:9">
      <c r="A61" s="24">
        <v>45899</v>
      </c>
      <c r="B61" s="23" t="s">
        <v>19</v>
      </c>
      <c r="C61" s="25">
        <v>1083480</v>
      </c>
      <c r="D61" s="25">
        <v>8963</v>
      </c>
      <c r="E61" s="25">
        <v>13826819</v>
      </c>
      <c r="F61" s="25">
        <v>171482</v>
      </c>
      <c r="G61" s="25">
        <v>15090744</v>
      </c>
      <c r="H61" s="26">
        <v>5.85</v>
      </c>
      <c r="I61" s="27">
        <v>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Cursor Usageの記録</vt:lpstr>
      <vt:lpstr>Summary</vt:lpstr>
      <vt:lpstr>Included Usage 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新井健一朗</cp:lastModifiedBy>
  <dcterms:created xsi:type="dcterms:W3CDTF">2025-04-19T10:59:01Z</dcterms:created>
  <dcterms:modified xsi:type="dcterms:W3CDTF">2026-02-14T02:45:52Z</dcterms:modified>
</cp:coreProperties>
</file>